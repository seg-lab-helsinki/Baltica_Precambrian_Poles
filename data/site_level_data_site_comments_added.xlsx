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Y:\Baltica_compilation_manuscript\Folders_for_Github\"/>
    </mc:Choice>
  </mc:AlternateContent>
  <xr:revisionPtr revIDLastSave="0" documentId="13_ncr:1_{1EB64395-C72D-4AF2-AF8D-D599FB41C0C7}" xr6:coauthVersionLast="47" xr6:coauthVersionMax="47" xr10:uidLastSave="{00000000-0000-0000-0000-000000000000}"/>
  <bookViews>
    <workbookView xWindow="-110" yWindow="-110" windowWidth="25820" windowHeight="13900" activeTab="13" xr2:uid="{00000000-000D-0000-FFFF-FFFF00000000}"/>
  </bookViews>
  <sheets>
    <sheet name="MEAN Vendian sediments " sheetId="74" r:id="rId1"/>
    <sheet name="Chernokamenskay group sediments" sheetId="26" r:id="rId2"/>
    <sheet name="Zigan formation clastic rocks C" sheetId="2" r:id="rId3"/>
    <sheet name="Zigan HTC thin beds" sheetId="11" r:id="rId4"/>
    <sheet name="Volhyn lavas" sheetId="19" r:id="rId5"/>
    <sheet name="Basu formation  (precise)" sheetId="12" r:id="rId6"/>
    <sheet name="Basu Kukkarauk formation C" sheetId="27" r:id="rId7"/>
    <sheet name="Egersund dykes" sheetId="3" r:id="rId8"/>
    <sheet name="Bakeevo formation" sheetId="29" r:id="rId9"/>
    <sheet name="Kurgashlya formation" sheetId="28" r:id="rId10"/>
    <sheet name="Hunnedalen Dykes" sheetId="4" r:id="rId11"/>
    <sheet name="Katav Formation" sheetId="22" r:id="rId12"/>
    <sheet name="Southwestern Telemark lithotect" sheetId="33" r:id="rId13"/>
    <sheet name="MEAN Rogaland igneous cx" sheetId="70" r:id="rId14"/>
    <sheet name="Bratton and Algon Igneous Rocks" sheetId="6" r:id="rId15"/>
    <sheet name="Blekinge Dalarna dykes Group A" sheetId="8" r:id="rId16"/>
    <sheet name="Dykes of central and S sweden" sheetId="7" r:id="rId17"/>
    <sheet name="Blekinge-Dalarna dykes, Group B" sheetId="30" r:id="rId18"/>
    <sheet name="Central Telemark lithotectonic " sheetId="32" r:id="rId19"/>
    <sheet name="Laanila Ristijärvi Dykes" sheetId="10" r:id="rId20"/>
    <sheet name="Bamble lithotectonic unit" sheetId="31" r:id="rId21"/>
    <sheet name="Salla Dyke width 60 100 m" sheetId="15" r:id="rId22"/>
    <sheet name="MEAN post-Jotnian intrusions" sheetId="65" r:id="rId23"/>
    <sheet name="Bornholm Group I dykes" sheetId="16" r:id="rId24"/>
    <sheet name="Mashak suite" sheetId="9" r:id="rId25"/>
    <sheet name="Lake Ladoga Silla+Basalta" sheetId="17" r:id="rId26"/>
    <sheet name="MEAN Bunkris Glysjon Oje NEW ME" sheetId="66" r:id="rId27"/>
    <sheet name="Mean 1500 (Ragunda-dykes group " sheetId="35" r:id="rId28"/>
    <sheet name="Ragunda Formation" sheetId="69" r:id="rId29"/>
    <sheet name="Ragunda dykes + rapakivi (group" sheetId="36" r:id="rId30"/>
    <sheet name="Satakunta dyke swarm -C (includ" sheetId="38" r:id="rId31"/>
    <sheet name="Åland dyke swarm (includes seve" sheetId="37" r:id="rId32"/>
    <sheet name="Hoting basic dykes" sheetId="13" r:id="rId33"/>
    <sheet name="Häme + E-W Satakunta" sheetId="42" r:id="rId34"/>
    <sheet name="Häme dyke swarm " sheetId="41" r:id="rId35"/>
    <sheet name="Turinge gabbro-diabase" sheetId="45" r:id="rId36"/>
    <sheet name="MEAN Ropruchey sill" sheetId="47" r:id="rId37"/>
    <sheet name="Shoksha Sandstones" sheetId="46" r:id="rId38"/>
    <sheet name="Småland intrusives -C" sheetId="48" r:id="rId39"/>
    <sheet name="Hoting gabbro" sheetId="49" r:id="rId40"/>
    <sheet name="Lake Ladoga, Mean intr. &amp; dykes" sheetId="50" r:id="rId41"/>
    <sheet name="Notträsk gabbro (C+ remove from" sheetId="64" r:id="rId42"/>
    <sheet name="Eastern Murmansk sills" sheetId="51" r:id="rId43"/>
    <sheet name="Keuruu dykes " sheetId="43" r:id="rId44"/>
    <sheet name="Svecofennian gabbro intrusive" sheetId="68" r:id="rId45"/>
    <sheet name="Onega 1975 Ma Intrusions" sheetId="44" r:id="rId46"/>
    <sheet name="Varpaisjärvi dolerites &amp; baseme" sheetId="53" r:id="rId47"/>
    <sheet name="Taivalkoski 2.3 Ga dyke" sheetId="54" r:id="rId48"/>
    <sheet name="Kivakka" sheetId="55" r:id="rId49"/>
    <sheet name="Karelian Dykes" sheetId="56" r:id="rId50"/>
    <sheet name="Mean D Burakovskaya intrusion a" sheetId="77" r:id="rId51"/>
    <sheet name="Mean D' Shalskiy-Deda-Gorelyi-G" sheetId="78" r:id="rId52"/>
    <sheet name="Tsuomasvarri Gabbro-Diorite Int" sheetId="52" r:id="rId53"/>
    <sheet name="Kuetsyarvi" sheetId="20" r:id="rId54"/>
    <sheet name="Volyn-Dniestr-Bug intrusions gE" sheetId="58" r:id="rId55"/>
    <sheet name="Volyn-Dniestr-Bug gC+D" sheetId="59" r:id="rId56"/>
    <sheet name="Volyn-Dniestr-Bug intrusions gB" sheetId="60" r:id="rId57"/>
    <sheet name="Volyn-Dniestr-Bug intrusions gA" sheetId="61" r:id="rId58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9" i="2" l="1"/>
</calcChain>
</file>

<file path=xl/sharedStrings.xml><?xml version="1.0" encoding="utf-8"?>
<sst xmlns="http://schemas.openxmlformats.org/spreadsheetml/2006/main" count="2137" uniqueCount="870">
  <si>
    <t>site</t>
  </si>
  <si>
    <t>dir_dec</t>
  </si>
  <si>
    <t>dir_inc</t>
  </si>
  <si>
    <t>dir_k</t>
  </si>
  <si>
    <t>dir_alpha95</t>
  </si>
  <si>
    <t>dir_n_samples</t>
  </si>
  <si>
    <t>vgp_lat</t>
  </si>
  <si>
    <t>vgp_lon</t>
  </si>
  <si>
    <t>Comment</t>
  </si>
  <si>
    <t>Authors</t>
  </si>
  <si>
    <t>Shal’skii quarry, Neoarchaean gabbronorite dike</t>
  </si>
  <si>
    <t>Shcherbakova et al. (2017)</t>
  </si>
  <si>
    <t>Gabbronorite Shala dike</t>
  </si>
  <si>
    <t>Mertanen et al. (2006)</t>
  </si>
  <si>
    <t>Avdeevskaya gabbronorite dike</t>
  </si>
  <si>
    <t>Krasnova et al. (1990)</t>
  </si>
  <si>
    <t>Shala diabase dike</t>
  </si>
  <si>
    <t>Need check</t>
  </si>
  <si>
    <t>Burakovskaya intrusion</t>
  </si>
  <si>
    <t>Burakovskaya intrusion, central block</t>
  </si>
  <si>
    <t>Fedotova et al. (1999)</t>
  </si>
  <si>
    <t>Burakovskaya intrusion, gabbro-diorites</t>
  </si>
  <si>
    <t>Shal’skii quarry, Neoar chaean gabbronorite dike</t>
  </si>
  <si>
    <t>Glubokaya Kara Bay, Neo archaean gabbronorite dike</t>
  </si>
  <si>
    <t>Deda Island, Neoarchaean gabbronorite dike</t>
  </si>
  <si>
    <t>Lubnina et al. (2017)</t>
  </si>
  <si>
    <t>Deda Island, exocontact of Neoarchaean gabbronorite dike and hosting Archaean granites</t>
  </si>
  <si>
    <t>Gorelyi Island, Neoar chaean gabbronorite dike</t>
  </si>
  <si>
    <t>Unbaked gabbronorites Shala dike</t>
  </si>
  <si>
    <t>Baked gneisses on contact with Shala dike</t>
  </si>
  <si>
    <t>Levashova et al. (2013)</t>
  </si>
  <si>
    <t>P1167-A</t>
  </si>
  <si>
    <t>P1161-CA</t>
  </si>
  <si>
    <t>P1155-C</t>
  </si>
  <si>
    <t>P1155-A</t>
  </si>
  <si>
    <t>P1147-CA</t>
  </si>
  <si>
    <t>N5093-C</t>
  </si>
  <si>
    <t>P1209-A</t>
  </si>
  <si>
    <t>–</t>
  </si>
  <si>
    <t>N5085-CA</t>
  </si>
  <si>
    <t>N5077-AC</t>
  </si>
  <si>
    <t>M1695-A</t>
  </si>
  <si>
    <t>P1195-C</t>
  </si>
  <si>
    <t>N5069-C</t>
  </si>
  <si>
    <t>M1688-C</t>
  </si>
  <si>
    <t>M1681-C</t>
  </si>
  <si>
    <t>M1681-A</t>
  </si>
  <si>
    <t>P1187-CA</t>
  </si>
  <si>
    <t>M1674-A</t>
  </si>
  <si>
    <t>P1180-C</t>
  </si>
  <si>
    <t>N5061-C</t>
  </si>
  <si>
    <t>C114-C</t>
  </si>
  <si>
    <t>C114-A</t>
  </si>
  <si>
    <t>N5241-C</t>
  </si>
  <si>
    <t>N5241-A</t>
  </si>
  <si>
    <t>N5257-C</t>
  </si>
  <si>
    <t>N5264-C</t>
  </si>
  <si>
    <t>N5271-C</t>
  </si>
  <si>
    <t>C121-C</t>
  </si>
  <si>
    <t>P1330-C</t>
  </si>
  <si>
    <t>P1323-C</t>
  </si>
  <si>
    <t>P1316-C</t>
  </si>
  <si>
    <t>P1316-A</t>
  </si>
  <si>
    <t>P1309-A</t>
  </si>
  <si>
    <t>M1838-C</t>
  </si>
  <si>
    <t>M1838-A</t>
  </si>
  <si>
    <t>M1830-A</t>
  </si>
  <si>
    <t>M1821-A</t>
  </si>
  <si>
    <t>M3551</t>
  </si>
  <si>
    <t>Bazhenov et al. (2016)</t>
  </si>
  <si>
    <t>M3560</t>
  </si>
  <si>
    <t>M3580</t>
  </si>
  <si>
    <t>F0630</t>
  </si>
  <si>
    <t>F0639</t>
  </si>
  <si>
    <t>F0657</t>
  </si>
  <si>
    <t>F0001</t>
  </si>
  <si>
    <t>Fedorova et al. (2014)</t>
  </si>
  <si>
    <t>F0008</t>
  </si>
  <si>
    <t>F0015</t>
  </si>
  <si>
    <t>F0022</t>
  </si>
  <si>
    <t>F0029</t>
  </si>
  <si>
    <t>F0036</t>
  </si>
  <si>
    <t>F0043</t>
  </si>
  <si>
    <t>F0057</t>
  </si>
  <si>
    <t>F0064</t>
  </si>
  <si>
    <t>F0068</t>
  </si>
  <si>
    <t>F0132</t>
  </si>
  <si>
    <t>F0139</t>
  </si>
  <si>
    <t>F0145</t>
  </si>
  <si>
    <t>N6205</t>
  </si>
  <si>
    <t>N6213</t>
  </si>
  <si>
    <t>N6221</t>
  </si>
  <si>
    <t>N6228</t>
  </si>
  <si>
    <t>N6235</t>
  </si>
  <si>
    <t>N6243</t>
  </si>
  <si>
    <t>GB3-1</t>
  </si>
  <si>
    <t>Levashova et al. (2015)</t>
  </si>
  <si>
    <t>GB3-2</t>
  </si>
  <si>
    <t>BSE6-R</t>
  </si>
  <si>
    <t>BSE20</t>
  </si>
  <si>
    <t>BSW10</t>
  </si>
  <si>
    <t>BSW11</t>
  </si>
  <si>
    <t>BSW12</t>
  </si>
  <si>
    <t>BSW16-1</t>
  </si>
  <si>
    <t>C247</t>
  </si>
  <si>
    <t>P1644</t>
  </si>
  <si>
    <t>P1652</t>
  </si>
  <si>
    <t>KK1R</t>
  </si>
  <si>
    <t>KK1N</t>
  </si>
  <si>
    <t>KK2</t>
  </si>
  <si>
    <t>KK3</t>
  </si>
  <si>
    <t>KK5</t>
  </si>
  <si>
    <t>KK8N</t>
  </si>
  <si>
    <t>KK9</t>
  </si>
  <si>
    <t>KK10</t>
  </si>
  <si>
    <t>KK11</t>
  </si>
  <si>
    <t>KK13</t>
  </si>
  <si>
    <t>KK14</t>
  </si>
  <si>
    <t>C100</t>
  </si>
  <si>
    <t>C107</t>
  </si>
  <si>
    <t>comment</t>
  </si>
  <si>
    <t>B018_x0002_N</t>
  </si>
  <si>
    <t>Golovanova et al. (2011)</t>
  </si>
  <si>
    <t>B31&amp;B36</t>
  </si>
  <si>
    <t>B79</t>
  </si>
  <si>
    <t>B93&amp;B98</t>
  </si>
  <si>
    <t>B111</t>
  </si>
  <si>
    <t>KK8_x0002_N</t>
  </si>
  <si>
    <t>KK8_x0002_R</t>
  </si>
  <si>
    <t>KK11&amp;12</t>
  </si>
  <si>
    <t>KGN</t>
  </si>
  <si>
    <t>Lubnina et al. (2014)</t>
  </si>
  <si>
    <t>KGR</t>
  </si>
  <si>
    <t>BKN</t>
  </si>
  <si>
    <t>BKR</t>
  </si>
  <si>
    <t>A3</t>
  </si>
  <si>
    <t>Elming et al. (2007)</t>
  </si>
  <si>
    <t>A2</t>
  </si>
  <si>
    <t>A4</t>
  </si>
  <si>
    <t>A3*</t>
  </si>
  <si>
    <t>A1</t>
  </si>
  <si>
    <t>Walderhaug et al. (1999)</t>
  </si>
  <si>
    <t>TE-DK1</t>
  </si>
  <si>
    <t>Brow et al. (2024)</t>
  </si>
  <si>
    <t>Minyar</t>
  </si>
  <si>
    <t>Pavlov et al. (2010)</t>
  </si>
  <si>
    <t>Pervomaysky</t>
  </si>
  <si>
    <t>Road Ufa-beloretsk</t>
  </si>
  <si>
    <t>BM56</t>
  </si>
  <si>
    <t>Kulakov et al. (2022)</t>
  </si>
  <si>
    <t>BM58</t>
  </si>
  <si>
    <t>BM59</t>
  </si>
  <si>
    <t>BM60</t>
  </si>
  <si>
    <t>BM62</t>
  </si>
  <si>
    <t>BM64</t>
  </si>
  <si>
    <t>BM65</t>
  </si>
  <si>
    <t>BM66</t>
  </si>
  <si>
    <t>BM72</t>
  </si>
  <si>
    <t>Host 5</t>
  </si>
  <si>
    <t>Host 9</t>
  </si>
  <si>
    <t>Host 15</t>
  </si>
  <si>
    <t>BK9</t>
  </si>
  <si>
    <t>BK29</t>
  </si>
  <si>
    <t>BK30</t>
  </si>
  <si>
    <t>BK56</t>
  </si>
  <si>
    <t>BK57</t>
  </si>
  <si>
    <t>BK58</t>
  </si>
  <si>
    <t>BK59</t>
  </si>
  <si>
    <t>BK60</t>
  </si>
  <si>
    <t>BK61</t>
  </si>
  <si>
    <t>BK68</t>
  </si>
  <si>
    <t>BK69</t>
  </si>
  <si>
    <t>BK70</t>
  </si>
  <si>
    <t>BK71</t>
  </si>
  <si>
    <t>Walderhaug et al. (2007)</t>
  </si>
  <si>
    <t>convert "text" to numbers</t>
  </si>
  <si>
    <t>Brown et al. (2024)</t>
  </si>
  <si>
    <t>TE1</t>
  </si>
  <si>
    <t>TE2</t>
  </si>
  <si>
    <t>TE10</t>
  </si>
  <si>
    <t>TE12</t>
  </si>
  <si>
    <t>TE43</t>
  </si>
  <si>
    <t>TE44</t>
  </si>
  <si>
    <t>TE46</t>
  </si>
  <si>
    <t>TE47</t>
  </si>
  <si>
    <t>TE48</t>
  </si>
  <si>
    <t>TE49</t>
  </si>
  <si>
    <t>TE50</t>
  </si>
  <si>
    <t>TE54</t>
  </si>
  <si>
    <t>BK79</t>
  </si>
  <si>
    <t>BK80</t>
  </si>
  <si>
    <t>BK81</t>
  </si>
  <si>
    <t>TE3</t>
  </si>
  <si>
    <t>TE4</t>
  </si>
  <si>
    <t>TE5</t>
  </si>
  <si>
    <t>TE6</t>
  </si>
  <si>
    <t>TE8</t>
  </si>
  <si>
    <t>TE9</t>
  </si>
  <si>
    <t>TE11</t>
  </si>
  <si>
    <t>BK21</t>
  </si>
  <si>
    <t>BK22</t>
  </si>
  <si>
    <t>BK23</t>
  </si>
  <si>
    <t>BK24</t>
  </si>
  <si>
    <t>BK51</t>
  </si>
  <si>
    <t>BK52</t>
  </si>
  <si>
    <t>BK53</t>
  </si>
  <si>
    <t>BK54</t>
  </si>
  <si>
    <t>BK55</t>
  </si>
  <si>
    <t>BK152</t>
  </si>
  <si>
    <t>BK1</t>
  </si>
  <si>
    <t>Brown &amp; McEnroe (2015)</t>
  </si>
  <si>
    <t>BK2</t>
  </si>
  <si>
    <t>BK3</t>
  </si>
  <si>
    <t>BK4A</t>
  </si>
  <si>
    <t>BK4B</t>
  </si>
  <si>
    <t>BK5</t>
  </si>
  <si>
    <t>BK7</t>
  </si>
  <si>
    <t>BK8</t>
  </si>
  <si>
    <t>BK10</t>
  </si>
  <si>
    <t>BK11</t>
  </si>
  <si>
    <t>BK12</t>
  </si>
  <si>
    <t>BK13</t>
  </si>
  <si>
    <t>BK14</t>
  </si>
  <si>
    <t>BK16</t>
  </si>
  <si>
    <t>BK20</t>
  </si>
  <si>
    <t>BK31</t>
  </si>
  <si>
    <t>BK32</t>
  </si>
  <si>
    <t>BK34</t>
  </si>
  <si>
    <t>BK38</t>
  </si>
  <si>
    <t>BK39</t>
  </si>
  <si>
    <t>BK40</t>
  </si>
  <si>
    <t>BK41</t>
  </si>
  <si>
    <t>BK42</t>
  </si>
  <si>
    <t>BK43</t>
  </si>
  <si>
    <t>BK44</t>
  </si>
  <si>
    <t>BK45</t>
  </si>
  <si>
    <t>BK46</t>
  </si>
  <si>
    <t>BK47</t>
  </si>
  <si>
    <t>BK48</t>
  </si>
  <si>
    <t>BK62</t>
  </si>
  <si>
    <t>BK66</t>
  </si>
  <si>
    <t>Bk67</t>
  </si>
  <si>
    <t>BK73</t>
  </si>
  <si>
    <t>BK74</t>
  </si>
  <si>
    <t>BK75</t>
  </si>
  <si>
    <t>BK76</t>
  </si>
  <si>
    <t>BK77</t>
  </si>
  <si>
    <t>BK78</t>
  </si>
  <si>
    <t>BK83</t>
  </si>
  <si>
    <t>BK84</t>
  </si>
  <si>
    <t>BK86</t>
  </si>
  <si>
    <t>BK88</t>
  </si>
  <si>
    <t>BK90</t>
  </si>
  <si>
    <t>BK91</t>
  </si>
  <si>
    <t>BK92</t>
  </si>
  <si>
    <t>BK94</t>
  </si>
  <si>
    <t>BK95</t>
  </si>
  <si>
    <t>BK96</t>
  </si>
  <si>
    <t>BK97</t>
  </si>
  <si>
    <t>BK98</t>
  </si>
  <si>
    <t>BK99</t>
  </si>
  <si>
    <t>BK100</t>
  </si>
  <si>
    <t>BK101</t>
  </si>
  <si>
    <t>BK102</t>
  </si>
  <si>
    <t>BK103</t>
  </si>
  <si>
    <t>BK104</t>
  </si>
  <si>
    <t>BK105</t>
  </si>
  <si>
    <t>BK106</t>
  </si>
  <si>
    <t>BK107</t>
  </si>
  <si>
    <t>BK110</t>
  </si>
  <si>
    <t>BK111</t>
  </si>
  <si>
    <t>BK112</t>
  </si>
  <si>
    <t>BK113</t>
  </si>
  <si>
    <t>BK114</t>
  </si>
  <si>
    <t>BK115</t>
  </si>
  <si>
    <t>BK116</t>
  </si>
  <si>
    <t>Braton-156</t>
  </si>
  <si>
    <t>Stearn &amp; Piper (1984)</t>
  </si>
  <si>
    <t>Braton-157</t>
  </si>
  <si>
    <t>Braton-158</t>
  </si>
  <si>
    <t>Braton-159</t>
  </si>
  <si>
    <t>Braton-160</t>
  </si>
  <si>
    <t>Algon-162</t>
  </si>
  <si>
    <t>Algon-163</t>
  </si>
  <si>
    <t>Algon-164</t>
  </si>
  <si>
    <t>Algon-165</t>
  </si>
  <si>
    <t>Algon-166</t>
  </si>
  <si>
    <t>Algon-167</t>
  </si>
  <si>
    <t>G16S17+18</t>
  </si>
  <si>
    <t>Gong et al. (2018)</t>
  </si>
  <si>
    <t>G16S23</t>
  </si>
  <si>
    <t>G16S15</t>
  </si>
  <si>
    <t>G16S36</t>
  </si>
  <si>
    <t>G16S12</t>
  </si>
  <si>
    <t>FALUN NEW</t>
  </si>
  <si>
    <t>Y1</t>
  </si>
  <si>
    <t>Y2</t>
  </si>
  <si>
    <t>SLUSSEN</t>
  </si>
  <si>
    <t>TUVE</t>
  </si>
  <si>
    <t>SMALL</t>
  </si>
  <si>
    <t>HJUVIK</t>
  </si>
  <si>
    <t>Dyke Y1</t>
  </si>
  <si>
    <t>Elming et al. (2014)</t>
  </si>
  <si>
    <t>Dyke Y2</t>
  </si>
  <si>
    <t>Falun dyke</t>
  </si>
  <si>
    <t>1-Andersbo dyke</t>
  </si>
  <si>
    <t>Bylund &amp; Elming (1992)</t>
  </si>
  <si>
    <t>2-Gällsjön dyke</t>
  </si>
  <si>
    <t>3-Ejen dyke</t>
  </si>
  <si>
    <t>Bylund (1985)</t>
  </si>
  <si>
    <t>Tuve dyke</t>
  </si>
  <si>
    <t>Pisarevsky &amp; Bylund (2006)</t>
  </si>
  <si>
    <t>Small dyke</t>
  </si>
  <si>
    <t>Hjuvik dyke</t>
  </si>
  <si>
    <t>Slussen dyke</t>
  </si>
  <si>
    <t>G16S22</t>
  </si>
  <si>
    <t>G16S21</t>
  </si>
  <si>
    <t>G16S07</t>
  </si>
  <si>
    <t>G16S40</t>
  </si>
  <si>
    <t>BM45</t>
  </si>
  <si>
    <t>BM46</t>
  </si>
  <si>
    <t>BM48</t>
  </si>
  <si>
    <t>BM49</t>
  </si>
  <si>
    <t>BM50</t>
  </si>
  <si>
    <t>BM51</t>
  </si>
  <si>
    <t>BM76</t>
  </si>
  <si>
    <t>BM79</t>
  </si>
  <si>
    <t>BM82</t>
  </si>
  <si>
    <t>BM83</t>
  </si>
  <si>
    <t>BM84</t>
  </si>
  <si>
    <t>BM85</t>
  </si>
  <si>
    <t>BM86</t>
  </si>
  <si>
    <t>BM87</t>
  </si>
  <si>
    <t>BM88</t>
  </si>
  <si>
    <t>BM89</t>
  </si>
  <si>
    <t>BM90</t>
  </si>
  <si>
    <t>BM91</t>
  </si>
  <si>
    <t>BM92</t>
  </si>
  <si>
    <t>BM93</t>
  </si>
  <si>
    <t>BM94</t>
  </si>
  <si>
    <t>BM95</t>
  </si>
  <si>
    <t>BM96</t>
  </si>
  <si>
    <t>Mean LT</t>
  </si>
  <si>
    <t>Mertanen et al. (1996)</t>
  </si>
  <si>
    <t>LK</t>
  </si>
  <si>
    <t>LJ</t>
  </si>
  <si>
    <t>KJ</t>
  </si>
  <si>
    <t>KK</t>
  </si>
  <si>
    <t>KO</t>
  </si>
  <si>
    <t>KL</t>
  </si>
  <si>
    <t>BM14</t>
  </si>
  <si>
    <t>need check</t>
  </si>
  <si>
    <t>BM15</t>
  </si>
  <si>
    <t>BM17</t>
  </si>
  <si>
    <t>BM18</t>
  </si>
  <si>
    <t>BM20</t>
  </si>
  <si>
    <t>BM21</t>
  </si>
  <si>
    <t>BM23</t>
  </si>
  <si>
    <t>BM23_LC</t>
  </si>
  <si>
    <t>BM24</t>
  </si>
  <si>
    <t>BM24_LC</t>
  </si>
  <si>
    <t>BM25</t>
  </si>
  <si>
    <t>BM26</t>
  </si>
  <si>
    <t>BM32</t>
  </si>
  <si>
    <t>BM38</t>
  </si>
  <si>
    <t>BM39</t>
  </si>
  <si>
    <t>112*</t>
  </si>
  <si>
    <t>113*</t>
  </si>
  <si>
    <t>115*</t>
  </si>
  <si>
    <t>116*</t>
  </si>
  <si>
    <t>118*</t>
  </si>
  <si>
    <t>119*</t>
  </si>
  <si>
    <t>123*</t>
  </si>
  <si>
    <t>130*</t>
  </si>
  <si>
    <t>132*</t>
  </si>
  <si>
    <t>136*</t>
  </si>
  <si>
    <t>137*</t>
  </si>
  <si>
    <t>138*</t>
  </si>
  <si>
    <t>139*</t>
  </si>
  <si>
    <t>141*</t>
  </si>
  <si>
    <t>142*</t>
  </si>
  <si>
    <t>144*</t>
  </si>
  <si>
    <t>145*</t>
  </si>
  <si>
    <t>148*</t>
  </si>
  <si>
    <t>149*</t>
  </si>
  <si>
    <t>150*</t>
  </si>
  <si>
    <t>151*</t>
  </si>
  <si>
    <t>153*</t>
  </si>
  <si>
    <t>154*</t>
  </si>
  <si>
    <t>Haltiavaara1 - HA1</t>
  </si>
  <si>
    <t>Salminen et al. (2009)</t>
  </si>
  <si>
    <t>Haltiavaara2 - HA2</t>
  </si>
  <si>
    <t>Helppila- HE</t>
  </si>
  <si>
    <t>Hanhivaara1 - HV1</t>
  </si>
  <si>
    <t>Hanhivaara2 - HV2</t>
  </si>
  <si>
    <t>Jokinena1 - JO1</t>
  </si>
  <si>
    <t>Jokinenä2-JO2</t>
  </si>
  <si>
    <t>Jokinenä3- JO3</t>
  </si>
  <si>
    <t>Jormantie-JT</t>
  </si>
  <si>
    <t>Kulvakkojänka-KU</t>
  </si>
  <si>
    <t>Pyhäjärvi-PY</t>
  </si>
  <si>
    <t>Pahakuru-PA</t>
  </si>
  <si>
    <t>Possolijärvi-PO</t>
  </si>
  <si>
    <t>Mean Ulvö dolerite</t>
  </si>
  <si>
    <t>Need digitizing</t>
  </si>
  <si>
    <t>Vasa dolerites 233.1</t>
  </si>
  <si>
    <t>Neuvonen (1966)</t>
  </si>
  <si>
    <t>Vasa dolerites 234.1</t>
  </si>
  <si>
    <t>Vasa dolerites 235.1</t>
  </si>
  <si>
    <t>Vasa dolerites 235.2</t>
  </si>
  <si>
    <t>Vasa dolerites 236.1</t>
  </si>
  <si>
    <t>Vasa dolerites 237.1</t>
  </si>
  <si>
    <t>Vasa dolerites 238.1</t>
  </si>
  <si>
    <t>Vasa dolerites 239.1</t>
  </si>
  <si>
    <t>Vasa dolerites 240.1</t>
  </si>
  <si>
    <t>Vasa dolerites 241.1</t>
  </si>
  <si>
    <t>Vasa dolerites 242.1</t>
  </si>
  <si>
    <t>Vasa dolerites 243.1</t>
  </si>
  <si>
    <t>Vasa dolerites 244.1</t>
  </si>
  <si>
    <t>Vasa dolerites 245.1</t>
  </si>
  <si>
    <t>Vasa dolerites 246.1</t>
  </si>
  <si>
    <t>V.Norrland dolerites 1</t>
  </si>
  <si>
    <t>Piper (1979)</t>
  </si>
  <si>
    <t>V.Norrland dolerites 2</t>
  </si>
  <si>
    <t>V.Norrland dolerites 3</t>
  </si>
  <si>
    <t>V.Norrland dolerites 4</t>
  </si>
  <si>
    <t>V.Norrland dolerites 5</t>
  </si>
  <si>
    <t>V.Norrland dolerites 6</t>
  </si>
  <si>
    <t>V.Norrland dolerites 7</t>
  </si>
  <si>
    <t>V.Norrland dolerites 8</t>
  </si>
  <si>
    <t>V.Norrland dolerites 9</t>
  </si>
  <si>
    <t>V.Norrland dolerites 10</t>
  </si>
  <si>
    <t>V.Norrland dolerites 11</t>
  </si>
  <si>
    <t>V.Norrland dolerites 12</t>
  </si>
  <si>
    <t>V.Norrland dolerites 13</t>
  </si>
  <si>
    <t>V.Norrland dolerites 14</t>
  </si>
  <si>
    <t>V.Norrland dolerites 15</t>
  </si>
  <si>
    <t>V.Norrland dolerites 16</t>
  </si>
  <si>
    <t>V.Norrland dolerites 17</t>
  </si>
  <si>
    <t>V.Norrland dolerites 18</t>
  </si>
  <si>
    <t>V.Norrland dolerites 19</t>
  </si>
  <si>
    <t>V.Norrland dolerites 20</t>
  </si>
  <si>
    <t>V.Norrland dolerites 21</t>
  </si>
  <si>
    <t>V.Norrland dolerites 22</t>
  </si>
  <si>
    <t>V.Norrland dolerites 23</t>
  </si>
  <si>
    <t>V.Norrland dolerites 24</t>
  </si>
  <si>
    <t>V.Norrland dolerites 25</t>
  </si>
  <si>
    <t>V.Norrland dolerites 26</t>
  </si>
  <si>
    <t>V.Norrland dolerites 30</t>
  </si>
  <si>
    <t>V.Norrland dolerites 31</t>
  </si>
  <si>
    <t>V.Norrland dolerites 32</t>
  </si>
  <si>
    <t>V.Norrland dolerites 33</t>
  </si>
  <si>
    <t>V.Norrland dolerites 34</t>
  </si>
  <si>
    <t>V.Norrland dolerites 35</t>
  </si>
  <si>
    <t>V.Norrland dolerites 36</t>
  </si>
  <si>
    <t>V.Norrland dolerites 37</t>
  </si>
  <si>
    <t>V.Norrland dolerites 38</t>
  </si>
  <si>
    <t>V.Norrland dolerites 39</t>
  </si>
  <si>
    <t>V.Norrland dolerites 40</t>
  </si>
  <si>
    <t>V.Norrland dolerites 41</t>
  </si>
  <si>
    <t>V.Norrland dolerites 42</t>
  </si>
  <si>
    <t>V.Norrland dolerites 43</t>
  </si>
  <si>
    <t>V.Norrland dolerites 44</t>
  </si>
  <si>
    <t>V.Norrland dolerites 45</t>
  </si>
  <si>
    <t>V.Norrland dolerites 46</t>
  </si>
  <si>
    <t xml:space="preserve">Mean Nordingrå dolertites </t>
  </si>
  <si>
    <t>No paper access to Fridh 1979, Piper lists Nårdingrå gabbro-anorthosites of Jotnian remagnetization D 45.1 I -39.4</t>
  </si>
  <si>
    <t>Fridh (1979) and Piper (1980)</t>
  </si>
  <si>
    <t>Gnarp sills</t>
  </si>
  <si>
    <t>Gnarp dolerites</t>
  </si>
  <si>
    <t>Sundsjö dolerite</t>
  </si>
  <si>
    <t>Gimån dolerite</t>
  </si>
  <si>
    <t>Jotnian dolerites</t>
  </si>
  <si>
    <t>Älvdalsåsen dolerite sill</t>
  </si>
  <si>
    <t>Älvho dolerite sill</t>
  </si>
  <si>
    <t>Särnä dolerites</t>
  </si>
  <si>
    <t>Lybergsgnupen dolerites</t>
  </si>
  <si>
    <t>Satakunta sills</t>
  </si>
  <si>
    <t>Satakunta dolerite dykes</t>
  </si>
  <si>
    <t>Gävle dolerites</t>
  </si>
  <si>
    <t>Märket dolerites</t>
  </si>
  <si>
    <t>(1) Fräkenmyrberget</t>
  </si>
  <si>
    <t>(2) Storgranliden</t>
  </si>
  <si>
    <t>(3) Middagsberget</t>
  </si>
  <si>
    <t>(4) Kvarnberget</t>
  </si>
  <si>
    <t>(5) Umgransele</t>
  </si>
  <si>
    <t>(6) Orrkulla</t>
  </si>
  <si>
    <t>(7) Svanamyrliden</t>
  </si>
  <si>
    <t>(8) Björnliden</t>
  </si>
  <si>
    <t>(9) Orån</t>
  </si>
  <si>
    <t>(10) Gammrenberget</t>
  </si>
  <si>
    <t>(11) Åkerberget</t>
  </si>
  <si>
    <t>(12) Skagsudde</t>
  </si>
  <si>
    <t>(13) Stybbersmark</t>
  </si>
  <si>
    <t>(14) Ulvön</t>
  </si>
  <si>
    <t>(15) Gubben</t>
  </si>
  <si>
    <t>(16) V.Stugun</t>
  </si>
  <si>
    <t>(17) NO Östersund(a)</t>
  </si>
  <si>
    <t>(18) NO Östersund(b)</t>
  </si>
  <si>
    <t>(19) N.Pilgrimstad</t>
  </si>
  <si>
    <t>(20) Hackäs</t>
  </si>
  <si>
    <t>(21) Övertjärnen</t>
  </si>
  <si>
    <t>(22) Borgsjöby</t>
  </si>
  <si>
    <t>(23) Ö.Nästelsjön</t>
  </si>
  <si>
    <t>(24) Ljungaverken</t>
  </si>
  <si>
    <t>(25) Rätansbyn</t>
  </si>
  <si>
    <t>(26) Ånge</t>
  </si>
  <si>
    <t>(27) Munkbyn</t>
  </si>
  <si>
    <t>(28) W.Havern</t>
  </si>
  <si>
    <t>(29) Ytterberg</t>
  </si>
  <si>
    <t>(32) Lappi</t>
  </si>
  <si>
    <t>(33) S.Eura</t>
  </si>
  <si>
    <t>(34) E.Eura</t>
  </si>
  <si>
    <t>(35) NW.Panelia</t>
  </si>
  <si>
    <t>(36) N.Luria</t>
  </si>
  <si>
    <t>(37) S.Luria</t>
  </si>
  <si>
    <t>(38) W.Nakkila</t>
  </si>
  <si>
    <t>Stugun dyke</t>
  </si>
  <si>
    <t>Turinge dyke</t>
  </si>
  <si>
    <t>Gävle sill</t>
  </si>
  <si>
    <t>B01</t>
  </si>
  <si>
    <t>B02</t>
  </si>
  <si>
    <t>B08</t>
  </si>
  <si>
    <t>B18</t>
  </si>
  <si>
    <t>B20</t>
  </si>
  <si>
    <t>B23</t>
  </si>
  <si>
    <t>B24</t>
  </si>
  <si>
    <t>B55</t>
  </si>
  <si>
    <t>B56</t>
  </si>
  <si>
    <t>B57</t>
  </si>
  <si>
    <t>B32</t>
  </si>
  <si>
    <t>B33</t>
  </si>
  <si>
    <t>B37II</t>
  </si>
  <si>
    <t>B38</t>
  </si>
  <si>
    <t>B39</t>
  </si>
  <si>
    <t>B40</t>
  </si>
  <si>
    <t>B41</t>
  </si>
  <si>
    <t>B45</t>
  </si>
  <si>
    <t>B46</t>
  </si>
  <si>
    <t>B47</t>
  </si>
  <si>
    <t>B50</t>
  </si>
  <si>
    <t>B51</t>
  </si>
  <si>
    <t>B52</t>
  </si>
  <si>
    <t>B53</t>
  </si>
  <si>
    <t>B54</t>
  </si>
  <si>
    <t>B58</t>
  </si>
  <si>
    <t>B03</t>
  </si>
  <si>
    <t>B60</t>
  </si>
  <si>
    <t>Site 13 (center)</t>
  </si>
  <si>
    <t>Site 14 (margin)</t>
  </si>
  <si>
    <t>Gneiss baked by 13/14</t>
  </si>
  <si>
    <t>Vigehavn</t>
  </si>
  <si>
    <t>Bølshavn A</t>
  </si>
  <si>
    <t>Dyke 2</t>
  </si>
  <si>
    <t>Dyke 5</t>
  </si>
  <si>
    <t>Dyke 6</t>
  </si>
  <si>
    <t>Dyke 9</t>
  </si>
  <si>
    <t xml:space="preserve"> Radostnyi Quarry (RD)-N</t>
  </si>
  <si>
    <t xml:space="preserve"> Radostnyi Quarry (RD)-R</t>
  </si>
  <si>
    <t>Mount Kapkatash (KP)-N</t>
  </si>
  <si>
    <t>Mount Kapkatash (KP)-R</t>
  </si>
  <si>
    <t>Bolshoi Klyuch Stream (BK)</t>
  </si>
  <si>
    <t>Berdyaush Quarry (stratigraphic reference system)</t>
  </si>
  <si>
    <t>Salmi-HR</t>
  </si>
  <si>
    <t>Salmi-HN</t>
  </si>
  <si>
    <t>Valaam-VL2</t>
  </si>
  <si>
    <t>Valaam-VL3</t>
  </si>
  <si>
    <t>Valaam-VL4</t>
  </si>
  <si>
    <t>Suur-Haapasaari</t>
  </si>
  <si>
    <t>Helylä</t>
  </si>
  <si>
    <t>Tamkhanka-1</t>
  </si>
  <si>
    <t>Tamkhanka-2</t>
  </si>
  <si>
    <t>Riekkalansaari-RA+RI-1</t>
  </si>
  <si>
    <t>Riekkalansaari-RA+RI-2</t>
  </si>
  <si>
    <t>Riekkalansaari-RB</t>
  </si>
  <si>
    <t>Riekkalansaari-RC</t>
  </si>
  <si>
    <t>Sortavala</t>
  </si>
  <si>
    <t>GA</t>
  </si>
  <si>
    <t>42.7</t>
  </si>
  <si>
    <t>144.2</t>
  </si>
  <si>
    <t>5.6</t>
  </si>
  <si>
    <t>12.7</t>
  </si>
  <si>
    <t>166.6</t>
  </si>
  <si>
    <t>GB</t>
  </si>
  <si>
    <t>48.0</t>
  </si>
  <si>
    <t>28.0</t>
  </si>
  <si>
    <t>17.7</t>
  </si>
  <si>
    <t>12.1</t>
  </si>
  <si>
    <t>161.9</t>
  </si>
  <si>
    <t>GC</t>
  </si>
  <si>
    <t>44.8</t>
  </si>
  <si>
    <t>11.6</t>
  </si>
  <si>
    <t>165.6</t>
  </si>
  <si>
    <t>GD</t>
  </si>
  <si>
    <t>42.3</t>
  </si>
  <si>
    <t>19.9</t>
  </si>
  <si>
    <t>15.4</t>
  </si>
  <si>
    <t>11.0</t>
  </si>
  <si>
    <t>168.7</t>
  </si>
  <si>
    <t>GK3-5</t>
  </si>
  <si>
    <t>43.0</t>
  </si>
  <si>
    <t>90.6</t>
  </si>
  <si>
    <t>13.0</t>
  </si>
  <si>
    <t>16.2</t>
  </si>
  <si>
    <t>165.9</t>
  </si>
  <si>
    <t>SE1,SE3-6</t>
  </si>
  <si>
    <t>39.5</t>
  </si>
  <si>
    <t>37.2</t>
  </si>
  <si>
    <t>170.1</t>
  </si>
  <si>
    <t>SG1-3</t>
  </si>
  <si>
    <t>40.7</t>
  </si>
  <si>
    <t>118.3</t>
  </si>
  <si>
    <t>11.4</t>
  </si>
  <si>
    <t>16.9</t>
  </si>
  <si>
    <t>168.2</t>
  </si>
  <si>
    <t>SH1,5,6</t>
  </si>
  <si>
    <t>50.0</t>
  </si>
  <si>
    <t>13.6</t>
  </si>
  <si>
    <t>34.8</t>
  </si>
  <si>
    <t>160.4</t>
  </si>
  <si>
    <t>SJ</t>
  </si>
  <si>
    <t>39.6</t>
  </si>
  <si>
    <t>59.3</t>
  </si>
  <si>
    <t>10.0</t>
  </si>
  <si>
    <t>16.8</t>
  </si>
  <si>
    <t>169.5</t>
  </si>
  <si>
    <t>R01</t>
  </si>
  <si>
    <t>R02</t>
  </si>
  <si>
    <t>R07</t>
  </si>
  <si>
    <t>R15</t>
  </si>
  <si>
    <t>R17</t>
  </si>
  <si>
    <t>Piper-25</t>
  </si>
  <si>
    <t>Piper-28</t>
  </si>
  <si>
    <t>Piper-30</t>
  </si>
  <si>
    <t>Piper-19</t>
  </si>
  <si>
    <t>Piper-21</t>
  </si>
  <si>
    <t>Piper-22</t>
  </si>
  <si>
    <t>Piper-24</t>
  </si>
  <si>
    <t>S01</t>
  </si>
  <si>
    <t>S02</t>
  </si>
  <si>
    <t>S03</t>
  </si>
  <si>
    <t>S05</t>
  </si>
  <si>
    <t>S07 granite</t>
  </si>
  <si>
    <t>Rödö rapakivi granite mean</t>
  </si>
  <si>
    <t>R04</t>
  </si>
  <si>
    <t>R05+R06</t>
  </si>
  <si>
    <t>A01</t>
  </si>
  <si>
    <t>A09</t>
  </si>
  <si>
    <t>A11</t>
  </si>
  <si>
    <t>A13</t>
  </si>
  <si>
    <t>FG</t>
  </si>
  <si>
    <t>FO</t>
  </si>
  <si>
    <t>FT</t>
  </si>
  <si>
    <t>JC</t>
  </si>
  <si>
    <t>NB</t>
  </si>
  <si>
    <t>A23</t>
  </si>
  <si>
    <t>JD</t>
  </si>
  <si>
    <t>RC</t>
  </si>
  <si>
    <t>A9-13</t>
  </si>
  <si>
    <t>Bergskär</t>
  </si>
  <si>
    <t>Föglö/Källsholm</t>
  </si>
  <si>
    <t>Kråkskärsharun</t>
  </si>
  <si>
    <t>Vestrafjärdsharun</t>
  </si>
  <si>
    <t>Vidkobb</t>
  </si>
  <si>
    <t>Vidskär N</t>
  </si>
  <si>
    <t>Vidskär S</t>
  </si>
  <si>
    <t>Tvidolskär</t>
  </si>
  <si>
    <t>Föglö and Sottunga dykes</t>
  </si>
  <si>
    <t>A02</t>
  </si>
  <si>
    <t>A03</t>
  </si>
  <si>
    <t>A04</t>
  </si>
  <si>
    <t>A05</t>
  </si>
  <si>
    <t>A06</t>
  </si>
  <si>
    <t>A07</t>
  </si>
  <si>
    <t>A08</t>
  </si>
  <si>
    <t>A22</t>
  </si>
  <si>
    <t>A14</t>
  </si>
  <si>
    <t>A15</t>
  </si>
  <si>
    <t>A16</t>
  </si>
  <si>
    <t>A17</t>
  </si>
  <si>
    <t>A18</t>
  </si>
  <si>
    <t>A19</t>
  </si>
  <si>
    <t>A20</t>
  </si>
  <si>
    <t>A21</t>
  </si>
  <si>
    <t>CG</t>
  </si>
  <si>
    <t>DE</t>
  </si>
  <si>
    <t>EK</t>
  </si>
  <si>
    <t>FM</t>
  </si>
  <si>
    <t>KB</t>
  </si>
  <si>
    <t>KW</t>
  </si>
  <si>
    <t>LU</t>
  </si>
  <si>
    <t>RK/RM</t>
  </si>
  <si>
    <t>VS</t>
  </si>
  <si>
    <t>VT</t>
  </si>
  <si>
    <t>Kumlinge</t>
  </si>
  <si>
    <t>Brändö</t>
  </si>
  <si>
    <t>Korsö</t>
  </si>
  <si>
    <t>NE of Slätskär</t>
  </si>
  <si>
    <t>E of Slätskär</t>
  </si>
  <si>
    <t>SW of Slätskär</t>
  </si>
  <si>
    <t>Kumlinge NE</t>
  </si>
  <si>
    <t>Kumlinge-Brändö</t>
  </si>
  <si>
    <t>AM</t>
  </si>
  <si>
    <t>HJ</t>
  </si>
  <si>
    <t>IV</t>
  </si>
  <si>
    <t>LS</t>
  </si>
  <si>
    <t>MA</t>
  </si>
  <si>
    <t>AT</t>
  </si>
  <si>
    <t>FE</t>
  </si>
  <si>
    <t>GR</t>
  </si>
  <si>
    <t>OV1</t>
  </si>
  <si>
    <t>OV2</t>
  </si>
  <si>
    <t>OV3</t>
  </si>
  <si>
    <t>DBp</t>
  </si>
  <si>
    <t>DSp</t>
  </si>
  <si>
    <t>OV</t>
  </si>
  <si>
    <t>2-basic dyke</t>
  </si>
  <si>
    <t>3-basic dyke</t>
  </si>
  <si>
    <t>Basic Dyke  site 20a (Elming et al 2004)</t>
  </si>
  <si>
    <t>Basic Dyke  site 21 (Elming et al 2004)</t>
  </si>
  <si>
    <t>H1</t>
  </si>
  <si>
    <t>H12</t>
  </si>
  <si>
    <t>H15</t>
  </si>
  <si>
    <t>H18</t>
  </si>
  <si>
    <t>H25</t>
  </si>
  <si>
    <t>H13</t>
  </si>
  <si>
    <t>H17</t>
  </si>
  <si>
    <t>H20</t>
  </si>
  <si>
    <t>H23</t>
  </si>
  <si>
    <t>H24</t>
  </si>
  <si>
    <t>VR+HR</t>
  </si>
  <si>
    <t>AO</t>
  </si>
  <si>
    <t>NO</t>
  </si>
  <si>
    <t>OJ</t>
  </si>
  <si>
    <t>FA</t>
  </si>
  <si>
    <t xml:space="preserve">
KT</t>
  </si>
  <si>
    <t>-</t>
  </si>
  <si>
    <t>A6</t>
  </si>
  <si>
    <t>A7</t>
  </si>
  <si>
    <t>A8</t>
  </si>
  <si>
    <t>B1</t>
  </si>
  <si>
    <t>C1</t>
  </si>
  <si>
    <t>NA</t>
  </si>
  <si>
    <t>OA</t>
  </si>
  <si>
    <t>PK</t>
  </si>
  <si>
    <t>SK</t>
  </si>
  <si>
    <t>TK</t>
  </si>
  <si>
    <t>KD</t>
  </si>
  <si>
    <t>TP</t>
  </si>
  <si>
    <t>R1</t>
  </si>
  <si>
    <t>R2</t>
  </si>
  <si>
    <t>R3</t>
  </si>
  <si>
    <t>RV</t>
  </si>
  <si>
    <t>2.1 Shoksha + Sheltozero gabbro-dolerites</t>
  </si>
  <si>
    <t>2.11 Shoksha + Sheltozero gabbro</t>
  </si>
  <si>
    <t>2.12 Ladva gabbro-dolerites</t>
  </si>
  <si>
    <t>Rybreka sill, A,</t>
  </si>
  <si>
    <t>Pisarevsky &amp; Bylund (2010)</t>
  </si>
  <si>
    <t>2-gabbro N</t>
  </si>
  <si>
    <t>2-gabbro R</t>
  </si>
  <si>
    <t xml:space="preserve">3-gabbro </t>
  </si>
  <si>
    <t>4-gabbro</t>
  </si>
  <si>
    <t>5-gabbro</t>
  </si>
  <si>
    <t>VK (Sh)</t>
  </si>
  <si>
    <t>OJ (Sh)</t>
  </si>
  <si>
    <t xml:space="preserve">IV (L) </t>
  </si>
  <si>
    <t>RE (L)</t>
  </si>
  <si>
    <t>21-16-t</t>
  </si>
  <si>
    <t>21-16-af</t>
  </si>
  <si>
    <t>28–16</t>
  </si>
  <si>
    <t>29–16-t</t>
  </si>
  <si>
    <t>29–16-af</t>
  </si>
  <si>
    <t>32–16-t</t>
  </si>
  <si>
    <t>32–16-af</t>
  </si>
  <si>
    <t>15–17-t</t>
  </si>
  <si>
    <t>15–17-af</t>
  </si>
  <si>
    <t>22–17</t>
  </si>
  <si>
    <t>33-17a-t</t>
  </si>
  <si>
    <t>33-17a-af</t>
  </si>
  <si>
    <t>33-17b-t</t>
  </si>
  <si>
    <t>33-17b-af</t>
  </si>
  <si>
    <t xml:space="preserve"> 35–17-t</t>
  </si>
  <si>
    <t xml:space="preserve"> 35–17-af</t>
  </si>
  <si>
    <t>36–17-t</t>
  </si>
  <si>
    <t>36–17-af</t>
  </si>
  <si>
    <t xml:space="preserve"> 37–17-t</t>
  </si>
  <si>
    <t xml:space="preserve"> 37–17-af</t>
  </si>
  <si>
    <t xml:space="preserve"> 2-15a</t>
  </si>
  <si>
    <t>2-15b</t>
  </si>
  <si>
    <t xml:space="preserve"> 42–17-af</t>
  </si>
  <si>
    <t xml:space="preserve"> 43–17-af</t>
  </si>
  <si>
    <t xml:space="preserve"> 44–17-af</t>
  </si>
  <si>
    <t>A12</t>
  </si>
  <si>
    <t>K01</t>
  </si>
  <si>
    <t>K02</t>
  </si>
  <si>
    <t xml:space="preserve">A07 </t>
  </si>
  <si>
    <t xml:space="preserve">A09 </t>
  </si>
  <si>
    <t xml:space="preserve">A10 </t>
  </si>
  <si>
    <t xml:space="preserve">A14 </t>
  </si>
  <si>
    <t xml:space="preserve">A15 </t>
  </si>
  <si>
    <t xml:space="preserve">2431/01 B </t>
  </si>
  <si>
    <t xml:space="preserve">2431/02 B </t>
  </si>
  <si>
    <t xml:space="preserve">2431/03 B </t>
  </si>
  <si>
    <t xml:space="preserve">2431/04 B </t>
  </si>
  <si>
    <t xml:space="preserve">2431/05 B </t>
  </si>
  <si>
    <t xml:space="preserve">A16 </t>
  </si>
  <si>
    <t xml:space="preserve">A17 </t>
  </si>
  <si>
    <t xml:space="preserve">A18 </t>
  </si>
  <si>
    <t>A19I</t>
  </si>
  <si>
    <t>A19II</t>
  </si>
  <si>
    <t>TC</t>
  </si>
  <si>
    <t>TL</t>
  </si>
  <si>
    <t>TM</t>
  </si>
  <si>
    <t>TN</t>
  </si>
  <si>
    <t>TO</t>
  </si>
  <si>
    <t>TQ</t>
  </si>
  <si>
    <t>TR</t>
  </si>
  <si>
    <t>8a</t>
  </si>
  <si>
    <t>8b</t>
  </si>
  <si>
    <t>8c</t>
  </si>
  <si>
    <t>Jonsa- JB,R</t>
  </si>
  <si>
    <t>Jonsa - JF,R</t>
  </si>
  <si>
    <t>Jonsa -JJ,R</t>
  </si>
  <si>
    <t>Jonsa -JK,N</t>
  </si>
  <si>
    <t>Jonsa -JL,NR</t>
  </si>
  <si>
    <t>Pällikäs-PD, R</t>
  </si>
  <si>
    <t>Pällikäs-PJ, R</t>
  </si>
  <si>
    <t>Pällikäs-RK, R</t>
  </si>
  <si>
    <t>Tulisaari-LS_NR</t>
  </si>
  <si>
    <t>Tulisaari-LU_R</t>
  </si>
  <si>
    <t>Tulisaari-LV_R</t>
  </si>
  <si>
    <t>Jonsa</t>
  </si>
  <si>
    <t>Pällikäs</t>
  </si>
  <si>
    <t>Tulisaari</t>
  </si>
  <si>
    <t>PCL-HT</t>
  </si>
  <si>
    <t>OL-HT</t>
  </si>
  <si>
    <t>NOR1A-HT</t>
  </si>
  <si>
    <t>NOR1B-HT</t>
  </si>
  <si>
    <t>NOR2</t>
  </si>
  <si>
    <t>GN1</t>
  </si>
  <si>
    <t>PCU</t>
  </si>
  <si>
    <t>A1s /Perchersky et al</t>
  </si>
  <si>
    <t>BD</t>
  </si>
  <si>
    <t>SD</t>
  </si>
  <si>
    <t>VN-A</t>
  </si>
  <si>
    <t>VN1</t>
  </si>
  <si>
    <t>XD-A</t>
  </si>
  <si>
    <t>XD1</t>
  </si>
  <si>
    <t>XD2</t>
  </si>
  <si>
    <t>XE-A</t>
  </si>
  <si>
    <t>XE1</t>
  </si>
  <si>
    <t>XE2</t>
  </si>
  <si>
    <t>AB2</t>
  </si>
  <si>
    <t>6b</t>
  </si>
  <si>
    <t>site 13 in Elming et al. 2001</t>
  </si>
  <si>
    <t>site 14 in Elming et al. 2001</t>
  </si>
  <si>
    <t>2b</t>
  </si>
  <si>
    <t>site 4 in Elming et al 2001</t>
  </si>
  <si>
    <t>site 5 in Elming et al</t>
  </si>
  <si>
    <t>site 9 in Elming et al</t>
  </si>
  <si>
    <t>site 10 in Elming et al</t>
  </si>
  <si>
    <t>site 11 in Elming et al</t>
  </si>
  <si>
    <t>site 6 in Elming et al</t>
  </si>
  <si>
    <t>site 7 in Elming et al</t>
  </si>
  <si>
    <t>site 8 in Elming et al</t>
  </si>
  <si>
    <t>6a</t>
  </si>
  <si>
    <t>10b</t>
  </si>
  <si>
    <t>site 1 in Elming et al</t>
  </si>
  <si>
    <t>12b</t>
  </si>
  <si>
    <t>Site 15 in Elming et al 2001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</si>
</sst>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00.0"/>
  </numFmts>
  <fonts count="28">
    <font>
      <sz val="10"/>
      <color rgb="FF000000"/>
      <name val="Arial"/>
      <scheme val="minor"/>
    </font>
    <font>
      <sz val="11"/>
      <color theme="1"/>
      <name val="Arial"/>
      <family val="2"/>
      <scheme val="minor"/>
    </font>
    <font>
      <b/>
      <sz val="10"/>
      <color theme="1"/>
      <name val="Arial"/>
      <family val="2"/>
      <scheme val="minor"/>
    </font>
    <font>
      <b/>
      <sz val="10"/>
      <color rgb="FF201F1E"/>
      <name val="Arial"/>
      <family val="2"/>
      <scheme val="minor"/>
    </font>
    <font>
      <sz val="10"/>
      <color theme="1"/>
      <name val="Arial"/>
      <family val="2"/>
      <scheme val="minor"/>
    </font>
    <font>
      <sz val="10"/>
      <color rgb="FF000000"/>
      <name val="Arial"/>
      <family val="2"/>
      <scheme val="minor"/>
    </font>
    <font>
      <sz val="8"/>
      <name val="Arial"/>
      <family val="2"/>
      <scheme val="minor"/>
    </font>
    <font>
      <sz val="10"/>
      <color theme="1"/>
      <name val="Verdana"/>
      <family val="2"/>
    </font>
    <font>
      <sz val="10"/>
      <name val="Arial"/>
      <family val="2"/>
      <scheme val="minor"/>
    </font>
    <font>
      <sz val="8"/>
      <name val="Arial"/>
      <family val="2"/>
      <scheme val="minor"/>
    </font>
    <font>
      <b/>
      <sz val="10"/>
      <color rgb="FF000000"/>
      <name val="Arial"/>
      <family val="2"/>
      <scheme val="minor"/>
    </font>
    <font>
      <sz val="10"/>
      <color rgb="FF000000"/>
      <name val="Verdana"/>
      <family val="2"/>
    </font>
    <font>
      <sz val="10"/>
      <name val="Geneva"/>
    </font>
    <font>
      <sz val="11"/>
      <color rgb="FF000000"/>
      <name val="Calibri"/>
      <family val="2"/>
    </font>
    <font>
      <sz val="10"/>
      <color rgb="FFFF0000"/>
      <name val="Arial"/>
      <family val="2"/>
      <scheme val="minor"/>
    </font>
    <font>
      <sz val="10"/>
      <color rgb="FF000000"/>
      <name val="Arial"/>
      <family val="2"/>
      <scheme val="major"/>
    </font>
    <font>
      <sz val="10"/>
      <color theme="4" tint="-0.249977111117893"/>
      <name val="Arial"/>
      <family val="2"/>
      <scheme val="minor"/>
    </font>
    <font>
      <sz val="10"/>
      <color theme="4" tint="-0.249977111117893"/>
      <name val="Arial"/>
      <family val="2"/>
      <scheme val="minor"/>
    </font>
    <font>
      <sz val="11"/>
      <name val="Calibri"/>
      <family val="2"/>
    </font>
    <font>
      <sz val="8"/>
      <name val="Arial"/>
      <family val="2"/>
      <scheme val="minor"/>
    </font>
    <font>
      <sz val="10"/>
      <color rgb="FF0070C0"/>
      <name val="Arial"/>
      <family val="2"/>
      <scheme val="minor"/>
    </font>
    <font>
      <sz val="10"/>
      <color rgb="FF0F172A"/>
      <name val="Segoe UI"/>
      <family val="2"/>
    </font>
    <font>
      <sz val="10"/>
      <color rgb="FF000000"/>
      <name val="Arial"/>
      <family val="2"/>
    </font>
    <font>
      <sz val="10"/>
      <color rgb="FF000000"/>
      <name val="Arial Unicode MS"/>
    </font>
    <font>
      <sz val="10"/>
      <color rgb="FF201F1E"/>
      <name val="Arial"/>
      <family val="2"/>
      <scheme val="minor"/>
    </font>
    <font>
      <sz val="10"/>
      <color rgb="FF201F1E"/>
      <name val="Arial"/>
      <family val="2"/>
      <scheme val="major"/>
    </font>
    <font>
      <sz val="10"/>
      <color theme="1"/>
      <name val="Arial"/>
      <family val="2"/>
      <scheme val="major"/>
    </font>
    <font>
      <sz val="10"/>
      <color rgb="FF000000"/>
      <name val="Courier New"/>
      <family val="3"/>
    </font>
  </fonts>
  <fills count="9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4A86E8"/>
        <bgColor rgb="FF4A86E8"/>
      </patternFill>
    </fill>
    <fill>
      <patternFill patternType="solid">
        <fgColor theme="7" tint="0.59999389629810485"/>
        <bgColor indexed="64"/>
      </patternFill>
    </fill>
  </fills>
  <borders count="1">
    <border>
      <left/>
      <right/>
      <top/>
      <bottom/>
      <diagonal/>
    </border>
  </borders>
  <cellStyleXfs count="4">
    <xf numFmtId="0" fontId="0" fillId="0" borderId="0"/>
    <xf numFmtId="0" fontId="12" fillId="0" borderId="0"/>
    <xf numFmtId="0" fontId="1" fillId="0" borderId="0"/>
    <xf numFmtId="0" fontId="18" fillId="0" borderId="0"/>
  </cellStyleXfs>
  <cellXfs count="83">
    <xf numFmtId="0" fontId="0" fillId="0" borderId="0" xfId="0"/>
    <xf numFmtId="0" fontId="4" fillId="0" borderId="0" xfId="0" applyFont="1" applyAlignment="1">
      <alignment horizontal="left"/>
    </xf>
    <xf numFmtId="0" fontId="0" fillId="0" borderId="0" xfId="0" applyAlignment="1">
      <alignment horizontal="left"/>
    </xf>
    <xf numFmtId="0" fontId="0" fillId="0" borderId="0" xfId="0" applyAlignment="1">
      <alignment horizontal="left" vertical="top"/>
    </xf>
    <xf numFmtId="0" fontId="5" fillId="0" borderId="0" xfId="0" applyFont="1"/>
    <xf numFmtId="0" fontId="7" fillId="0" borderId="0" xfId="0" applyFont="1" applyAlignment="1">
      <alignment vertical="center"/>
    </xf>
    <xf numFmtId="0" fontId="7" fillId="0" borderId="0" xfId="0" applyFont="1" applyAlignment="1">
      <alignment horizontal="center" vertical="center"/>
    </xf>
    <xf numFmtId="0" fontId="2" fillId="0" borderId="0" xfId="0" applyFont="1" applyAlignment="1">
      <alignment horizontal="center"/>
    </xf>
    <xf numFmtId="49" fontId="3" fillId="2" borderId="0" xfId="0" applyNumberFormat="1" applyFont="1" applyFill="1" applyAlignment="1">
      <alignment horizontal="center"/>
    </xf>
    <xf numFmtId="0" fontId="8" fillId="0" borderId="0" xfId="0" applyFont="1" applyAlignment="1">
      <alignment horizontal="right"/>
    </xf>
    <xf numFmtId="0" fontId="8" fillId="0" borderId="0" xfId="0" applyFont="1"/>
    <xf numFmtId="0" fontId="4" fillId="0" borderId="0" xfId="0" applyFont="1"/>
    <xf numFmtId="164" fontId="0" fillId="0" borderId="0" xfId="0" applyNumberFormat="1"/>
    <xf numFmtId="0" fontId="11" fillId="0" borderId="0" xfId="0" applyFont="1"/>
    <xf numFmtId="0" fontId="12" fillId="0" borderId="0" xfId="0" applyFont="1"/>
    <xf numFmtId="0" fontId="13" fillId="0" borderId="0" xfId="0" applyFont="1" applyAlignment="1">
      <alignment vertical="top"/>
    </xf>
    <xf numFmtId="0" fontId="11" fillId="0" borderId="0" xfId="0" applyFont="1" applyAlignment="1">
      <alignment horizontal="left"/>
    </xf>
    <xf numFmtId="164" fontId="4" fillId="0" borderId="0" xfId="0" applyNumberFormat="1" applyFont="1"/>
    <xf numFmtId="164" fontId="8" fillId="0" borderId="0" xfId="0" applyNumberFormat="1" applyFont="1"/>
    <xf numFmtId="0" fontId="11" fillId="0" borderId="0" xfId="0" applyFont="1" applyAlignment="1">
      <alignment vertical="center"/>
    </xf>
    <xf numFmtId="0" fontId="11" fillId="0" borderId="0" xfId="0" applyFont="1" applyAlignment="1">
      <alignment horizontal="left" vertical="center"/>
    </xf>
    <xf numFmtId="164" fontId="5" fillId="0" borderId="0" xfId="0" applyNumberFormat="1" applyFont="1"/>
    <xf numFmtId="0" fontId="10" fillId="0" borderId="0" xfId="0" applyFont="1"/>
    <xf numFmtId="0" fontId="5" fillId="0" borderId="0" xfId="0" applyFont="1" applyAlignment="1">
      <alignment vertical="center" wrapText="1"/>
    </xf>
    <xf numFmtId="0" fontId="5" fillId="6" borderId="0" xfId="0" applyFont="1" applyFill="1"/>
    <xf numFmtId="0" fontId="11" fillId="0" borderId="0" xfId="0" applyFont="1" applyAlignment="1">
      <alignment horizontal="left" vertical="top"/>
    </xf>
    <xf numFmtId="0" fontId="5" fillId="0" borderId="0" xfId="0" applyFont="1" applyAlignment="1">
      <alignment horizontal="right" vertical="center" wrapText="1"/>
    </xf>
    <xf numFmtId="0" fontId="5" fillId="0" borderId="0" xfId="0" applyFont="1" applyAlignment="1">
      <alignment horizontal="right"/>
    </xf>
    <xf numFmtId="0" fontId="11" fillId="7" borderId="0" xfId="0" applyFont="1" applyFill="1"/>
    <xf numFmtId="164" fontId="14" fillId="0" borderId="0" xfId="0" applyNumberFormat="1" applyFont="1"/>
    <xf numFmtId="0" fontId="7" fillId="0" borderId="0" xfId="0" applyFont="1" applyAlignment="1">
      <alignment horizontal="left" vertical="center"/>
    </xf>
    <xf numFmtId="0" fontId="15" fillId="0" borderId="0" xfId="0" applyFont="1" applyAlignment="1">
      <alignment horizontal="left"/>
    </xf>
    <xf numFmtId="0" fontId="15" fillId="3" borderId="0" xfId="0" applyFont="1" applyFill="1" applyAlignment="1">
      <alignment horizontal="left"/>
    </xf>
    <xf numFmtId="164" fontId="15" fillId="0" borderId="0" xfId="0" applyNumberFormat="1" applyFont="1" applyAlignment="1">
      <alignment horizontal="left"/>
    </xf>
    <xf numFmtId="0" fontId="15" fillId="8" borderId="0" xfId="0" applyFont="1" applyFill="1" applyAlignment="1">
      <alignment horizontal="left"/>
    </xf>
    <xf numFmtId="164" fontId="11" fillId="0" borderId="0" xfId="0" applyNumberFormat="1" applyFont="1" applyAlignment="1">
      <alignment vertical="center"/>
    </xf>
    <xf numFmtId="0" fontId="4" fillId="0" borderId="0" xfId="0" applyFont="1" applyAlignment="1">
      <alignment horizontal="right"/>
    </xf>
    <xf numFmtId="0" fontId="16" fillId="0" borderId="0" xfId="0" applyFont="1"/>
    <xf numFmtId="0" fontId="16" fillId="0" borderId="0" xfId="0" applyFont="1" applyAlignment="1">
      <alignment horizontal="left"/>
    </xf>
    <xf numFmtId="164" fontId="16" fillId="0" borderId="0" xfId="0" applyNumberFormat="1" applyFont="1"/>
    <xf numFmtId="0" fontId="17" fillId="0" borderId="0" xfId="0" applyFont="1"/>
    <xf numFmtId="0" fontId="17" fillId="0" borderId="0" xfId="0" applyFont="1" applyAlignment="1">
      <alignment horizontal="right"/>
    </xf>
    <xf numFmtId="0" fontId="16" fillId="0" borderId="0" xfId="0" applyFont="1" applyAlignment="1">
      <alignment horizontal="left" vertical="top"/>
    </xf>
    <xf numFmtId="0" fontId="17" fillId="0" borderId="0" xfId="0" applyFont="1" applyAlignment="1">
      <alignment horizontal="left"/>
    </xf>
    <xf numFmtId="0" fontId="17" fillId="6" borderId="0" xfId="0" applyFont="1" applyFill="1"/>
    <xf numFmtId="164" fontId="17" fillId="0" borderId="0" xfId="0" applyNumberFormat="1" applyFont="1"/>
    <xf numFmtId="0" fontId="20" fillId="0" borderId="0" xfId="0" applyFont="1"/>
    <xf numFmtId="164" fontId="20" fillId="0" borderId="0" xfId="0" applyNumberFormat="1" applyFont="1"/>
    <xf numFmtId="0" fontId="20" fillId="6" borderId="0" xfId="0" applyFont="1" applyFill="1"/>
    <xf numFmtId="164" fontId="17" fillId="4" borderId="0" xfId="0" applyNumberFormat="1" applyFont="1" applyFill="1"/>
    <xf numFmtId="164" fontId="5" fillId="4" borderId="0" xfId="0" applyNumberFormat="1" applyFont="1" applyFill="1"/>
    <xf numFmtId="0" fontId="8" fillId="6" borderId="0" xfId="0" applyFont="1" applyFill="1" applyAlignment="1">
      <alignment horizontal="right"/>
    </xf>
    <xf numFmtId="165" fontId="8" fillId="6" borderId="0" xfId="0" applyNumberFormat="1" applyFont="1" applyFill="1"/>
    <xf numFmtId="0" fontId="5" fillId="5" borderId="0" xfId="0" applyFont="1" applyFill="1" applyAlignment="1">
      <alignment horizontal="left"/>
    </xf>
    <xf numFmtId="0" fontId="21" fillId="0" borderId="0" xfId="0" applyFont="1"/>
    <xf numFmtId="0" fontId="5" fillId="0" borderId="0" xfId="0" applyFont="1" applyAlignment="1">
      <alignment horizontal="left"/>
    </xf>
    <xf numFmtId="0" fontId="4" fillId="0" borderId="0" xfId="0" applyFont="1" applyAlignment="1">
      <alignment horizontal="center"/>
    </xf>
    <xf numFmtId="1" fontId="4" fillId="0" borderId="0" xfId="0" applyNumberFormat="1" applyFont="1" applyAlignment="1">
      <alignment horizontal="center"/>
    </xf>
    <xf numFmtId="1" fontId="5" fillId="0" borderId="0" xfId="0" applyNumberFormat="1" applyFont="1"/>
    <xf numFmtId="0" fontId="5" fillId="4" borderId="0" xfId="0" applyFont="1" applyFill="1"/>
    <xf numFmtId="0" fontId="22" fillId="0" borderId="0" xfId="0" applyFont="1"/>
    <xf numFmtId="0" fontId="23" fillId="0" borderId="0" xfId="0" applyFont="1"/>
    <xf numFmtId="49" fontId="24" fillId="2" borderId="0" xfId="0" applyNumberFormat="1" applyFont="1" applyFill="1" applyAlignment="1">
      <alignment horizontal="center"/>
    </xf>
    <xf numFmtId="164" fontId="5" fillId="6" borderId="0" xfId="0" applyNumberFormat="1" applyFont="1" applyFill="1"/>
    <xf numFmtId="164" fontId="4" fillId="0" borderId="0" xfId="0" applyNumberFormat="1" applyFont="1" applyAlignment="1">
      <alignment horizontal="center"/>
    </xf>
    <xf numFmtId="49" fontId="24" fillId="2" borderId="0" xfId="0" applyNumberFormat="1" applyFont="1" applyFill="1" applyAlignment="1">
      <alignment horizontal="left"/>
    </xf>
    <xf numFmtId="164" fontId="5" fillId="0" borderId="0" xfId="0" applyNumberFormat="1" applyFont="1" applyAlignment="1">
      <alignment horizontal="left"/>
    </xf>
    <xf numFmtId="164" fontId="17" fillId="0" borderId="0" xfId="0" applyNumberFormat="1" applyFont="1" applyAlignment="1">
      <alignment horizontal="left"/>
    </xf>
    <xf numFmtId="0" fontId="5" fillId="0" borderId="0" xfId="0" applyFont="1" applyAlignment="1">
      <alignment horizontal="center"/>
    </xf>
    <xf numFmtId="0" fontId="5" fillId="4" borderId="0" xfId="0" applyFont="1" applyFill="1" applyAlignment="1">
      <alignment horizontal="center"/>
    </xf>
    <xf numFmtId="49" fontId="25" fillId="2" borderId="0" xfId="0" applyNumberFormat="1" applyFont="1" applyFill="1" applyAlignment="1">
      <alignment horizontal="left"/>
    </xf>
    <xf numFmtId="0" fontId="26" fillId="0" borderId="0" xfId="0" applyFont="1" applyAlignment="1">
      <alignment horizontal="left"/>
    </xf>
    <xf numFmtId="0" fontId="5" fillId="0" borderId="0" xfId="0" applyFont="1" applyAlignment="1">
      <alignment horizontal="left" vertical="center" wrapText="1"/>
    </xf>
    <xf numFmtId="0" fontId="5" fillId="0" borderId="0" xfId="0" applyFont="1" applyAlignment="1">
      <alignment horizontal="left" vertical="top" wrapText="1"/>
    </xf>
    <xf numFmtId="0" fontId="12" fillId="0" borderId="0" xfId="1" applyAlignment="1">
      <alignment horizontal="left" vertical="center"/>
    </xf>
    <xf numFmtId="164" fontId="12" fillId="0" borderId="0" xfId="1" applyNumberFormat="1"/>
    <xf numFmtId="49" fontId="24" fillId="2" borderId="0" xfId="0" applyNumberFormat="1" applyFont="1" applyFill="1" applyAlignment="1">
      <alignment horizontal="left" vertical="top"/>
    </xf>
    <xf numFmtId="0" fontId="5" fillId="0" borderId="0" xfId="0" applyFont="1" applyAlignment="1">
      <alignment horizontal="center" vertical="center" wrapText="1"/>
    </xf>
    <xf numFmtId="0" fontId="5" fillId="0" borderId="0" xfId="0" applyFont="1" applyAlignment="1">
      <alignment horizontal="left" vertical="top"/>
    </xf>
    <xf numFmtId="0" fontId="4" fillId="0" borderId="0" xfId="0" applyFont="1" applyAlignment="1">
      <alignment horizontal="left" vertical="center"/>
    </xf>
    <xf numFmtId="0" fontId="8" fillId="0" borderId="0" xfId="0" applyFont="1" applyAlignment="1">
      <alignment horizontal="left"/>
    </xf>
    <xf numFmtId="0" fontId="27" fillId="0" borderId="0" xfId="0" applyFont="1"/>
    <xf numFmtId="164" fontId="5" fillId="0" borderId="0" xfId="0" applyNumberFormat="1" applyFont="1" applyAlignment="1">
      <alignment horizontal="center"/>
    </xf>
  </cellXfs>
  <cellStyles count="4">
    <cellStyle name="Normal" xfId="0" builtinId="0"/>
    <cellStyle name="Normal 2" xfId="1" xr:uid="{83E5F03F-5FFC-4F18-B7F7-922DE9F61861}"/>
    <cellStyle name="Normal 3" xfId="2" xr:uid="{64B0CF1E-320C-49D3-AD4D-D80244D32AC9}"/>
    <cellStyle name="Normal 4" xfId="3" xr:uid="{C58DB769-DDEC-4AED-8872-C6E3972DA15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63" Type="http://schemas.openxmlformats.org/officeDocument/2006/relationships/customXml" Target="../customXml/item1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5" Type="http://schemas.openxmlformats.org/officeDocument/2006/relationships/worksheet" Target="worksheets/sheet5.xml"/><Relationship Id="rId61" Type="http://schemas.openxmlformats.org/officeDocument/2006/relationships/sharedStrings" Target="sharedStrings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64" Type="http://schemas.openxmlformats.org/officeDocument/2006/relationships/customXml" Target="../customXml/item2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theme" Target="theme/theme1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styles" Target="styles.xml"/><Relationship Id="rId65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4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33A52D-F8B9-431B-9902-4322112AB637}">
  <dimension ref="A1:J7"/>
  <sheetViews>
    <sheetView workbookViewId="0">
      <selection sqref="A1:J8"/>
    </sheetView>
  </sheetViews>
  <sheetFormatPr defaultRowHeight="12.5"/>
  <cols>
    <col min="10" max="10" width="15.81640625" customWidth="1"/>
  </cols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9</v>
      </c>
      <c r="J1" t="s">
        <v>8</v>
      </c>
    </row>
    <row r="2" spans="1:10">
      <c r="I2" s="4"/>
    </row>
    <row r="3" spans="1:10">
      <c r="I3" s="4"/>
    </row>
    <row r="4" spans="1:10">
      <c r="I4" s="4"/>
    </row>
    <row r="5" spans="1:10">
      <c r="I5" s="4"/>
    </row>
    <row r="6" spans="1:10">
      <c r="I6" s="4"/>
    </row>
    <row r="7" spans="1:10">
      <c r="I7" s="4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0E7DBE-6CEA-4C1F-8B20-C1D4B39ADAEA}">
  <dimension ref="A1:J42"/>
  <sheetViews>
    <sheetView workbookViewId="0">
      <selection activeCell="I20" sqref="I20"/>
    </sheetView>
  </sheetViews>
  <sheetFormatPr defaultColWidth="8.81640625" defaultRowHeight="12.5"/>
  <cols>
    <col min="1" max="8" width="8.81640625" style="4"/>
    <col min="9" max="9" width="18.90625" style="4" bestFit="1" customWidth="1"/>
    <col min="10" max="10" width="15.81640625" style="4" customWidth="1"/>
    <col min="11" max="16384" width="8.81640625" style="4"/>
  </cols>
  <sheetData>
    <row r="1" spans="1:10">
      <c r="A1" s="62" t="s">
        <v>0</v>
      </c>
      <c r="B1" s="56" t="s">
        <v>1</v>
      </c>
      <c r="C1" s="56" t="s">
        <v>2</v>
      </c>
      <c r="D1" s="56" t="s">
        <v>3</v>
      </c>
      <c r="E1" s="56" t="s">
        <v>4</v>
      </c>
      <c r="F1" s="56" t="s">
        <v>5</v>
      </c>
      <c r="G1" s="56" t="s">
        <v>6</v>
      </c>
      <c r="H1" s="56" t="s">
        <v>7</v>
      </c>
      <c r="I1" s="4" t="s">
        <v>9</v>
      </c>
      <c r="J1" s="4" t="s">
        <v>8</v>
      </c>
    </row>
    <row r="2" spans="1:10" ht="13.5">
      <c r="A2" s="11" t="s">
        <v>75</v>
      </c>
      <c r="B2" s="4">
        <v>133.80000000000001</v>
      </c>
      <c r="C2" s="4">
        <v>-25.7</v>
      </c>
      <c r="D2" s="4">
        <v>25.1</v>
      </c>
      <c r="E2" s="4">
        <v>12.3</v>
      </c>
      <c r="F2" s="4">
        <v>7</v>
      </c>
      <c r="G2" s="21">
        <v>33.44162399054931</v>
      </c>
      <c r="H2" s="21">
        <v>295.64065163660501</v>
      </c>
      <c r="I2" s="4" t="s">
        <v>76</v>
      </c>
      <c r="J2" s="13"/>
    </row>
    <row r="3" spans="1:10">
      <c r="A3" s="11" t="s">
        <v>77</v>
      </c>
      <c r="B3" s="4">
        <v>120.6</v>
      </c>
      <c r="C3" s="4">
        <v>-24.9</v>
      </c>
      <c r="D3" s="4">
        <v>27.7</v>
      </c>
      <c r="E3" s="4">
        <v>13</v>
      </c>
      <c r="F3" s="4">
        <v>6</v>
      </c>
      <c r="G3" s="21">
        <v>26.862712754397755</v>
      </c>
      <c r="H3" s="21">
        <v>308.43075912269308</v>
      </c>
      <c r="I3" s="4" t="s">
        <v>76</v>
      </c>
    </row>
    <row r="4" spans="1:10">
      <c r="A4" s="11" t="s">
        <v>78</v>
      </c>
      <c r="B4" s="4">
        <v>112.3</v>
      </c>
      <c r="C4" s="4">
        <v>-11.8</v>
      </c>
      <c r="D4" s="4">
        <v>74.400000000000006</v>
      </c>
      <c r="E4" s="4">
        <v>7</v>
      </c>
      <c r="F4" s="4">
        <v>7</v>
      </c>
      <c r="G4" s="21">
        <v>16.60508428996711</v>
      </c>
      <c r="H4" s="21">
        <v>312.19066500173972</v>
      </c>
      <c r="I4" s="4" t="s">
        <v>76</v>
      </c>
    </row>
    <row r="5" spans="1:10">
      <c r="A5" s="11" t="s">
        <v>79</v>
      </c>
      <c r="B5" s="4">
        <v>125.6</v>
      </c>
      <c r="C5" s="4">
        <v>-12.7</v>
      </c>
      <c r="D5" s="4">
        <v>37.6</v>
      </c>
      <c r="E5" s="4">
        <v>11.1</v>
      </c>
      <c r="F5" s="4">
        <v>6</v>
      </c>
      <c r="G5" s="21">
        <v>23.435528474891612</v>
      </c>
      <c r="H5" s="21">
        <v>300.1187568174517</v>
      </c>
      <c r="I5" s="4" t="s">
        <v>76</v>
      </c>
    </row>
    <row r="6" spans="1:10">
      <c r="A6" s="11" t="s">
        <v>80</v>
      </c>
      <c r="B6" s="4">
        <v>126.2</v>
      </c>
      <c r="C6" s="4">
        <v>-31.1</v>
      </c>
      <c r="D6" s="4">
        <v>24.6</v>
      </c>
      <c r="E6" s="4">
        <v>15.7</v>
      </c>
      <c r="F6" s="4">
        <v>5</v>
      </c>
      <c r="G6" s="21">
        <v>32.796781088394951</v>
      </c>
      <c r="H6" s="21">
        <v>305.19311193048753</v>
      </c>
      <c r="I6" s="4" t="s">
        <v>76</v>
      </c>
    </row>
    <row r="7" spans="1:10">
      <c r="A7" s="11" t="s">
        <v>81</v>
      </c>
      <c r="B7" s="4">
        <v>132.69999999999999</v>
      </c>
      <c r="C7" s="4">
        <v>-14.3</v>
      </c>
      <c r="D7" s="4">
        <v>81.900000000000006</v>
      </c>
      <c r="E7" s="4">
        <v>13.7</v>
      </c>
      <c r="F7" s="4">
        <v>3</v>
      </c>
      <c r="G7" s="21">
        <v>27.341299450663698</v>
      </c>
      <c r="H7" s="21">
        <v>293.55504565535921</v>
      </c>
      <c r="I7" s="4" t="s">
        <v>76</v>
      </c>
    </row>
    <row r="8" spans="1:10">
      <c r="A8" s="11" t="s">
        <v>82</v>
      </c>
      <c r="B8" s="4">
        <v>106.9</v>
      </c>
      <c r="C8" s="4">
        <v>-26.4</v>
      </c>
      <c r="D8" s="4">
        <v>28.5</v>
      </c>
      <c r="E8" s="4">
        <v>10.6</v>
      </c>
      <c r="F8" s="4">
        <v>8</v>
      </c>
      <c r="G8" s="21">
        <v>20.659503823928944</v>
      </c>
      <c r="H8" s="21">
        <v>321.35887640797017</v>
      </c>
      <c r="I8" s="4" t="s">
        <v>76</v>
      </c>
    </row>
    <row r="9" spans="1:10">
      <c r="A9" s="11" t="s">
        <v>83</v>
      </c>
      <c r="B9" s="4">
        <v>135.80000000000001</v>
      </c>
      <c r="C9" s="4">
        <v>-11.6</v>
      </c>
      <c r="D9" s="4">
        <v>52.4</v>
      </c>
      <c r="E9" s="4">
        <v>9.3000000000000007</v>
      </c>
      <c r="F9" s="4">
        <v>6</v>
      </c>
      <c r="G9" s="21">
        <v>27.366519301185505</v>
      </c>
      <c r="H9" s="21">
        <v>289.74480637432703</v>
      </c>
      <c r="I9" s="4" t="s">
        <v>76</v>
      </c>
    </row>
    <row r="10" spans="1:10">
      <c r="A10" s="11" t="s">
        <v>84</v>
      </c>
      <c r="B10" s="4">
        <v>106.9</v>
      </c>
      <c r="C10" s="4">
        <v>-31.2</v>
      </c>
      <c r="D10" s="4">
        <v>33</v>
      </c>
      <c r="E10" s="4">
        <v>16.2</v>
      </c>
      <c r="F10" s="4">
        <v>4</v>
      </c>
      <c r="G10" s="21">
        <v>23.108935917759212</v>
      </c>
      <c r="H10" s="21">
        <v>323.04744552171809</v>
      </c>
      <c r="I10" s="4" t="s">
        <v>76</v>
      </c>
    </row>
    <row r="11" spans="1:10">
      <c r="A11" s="11" t="s">
        <v>85</v>
      </c>
      <c r="B11" s="4">
        <v>125.3</v>
      </c>
      <c r="C11" s="4">
        <v>-29.8</v>
      </c>
      <c r="D11" s="4">
        <v>91.8</v>
      </c>
      <c r="E11" s="4">
        <v>12.9</v>
      </c>
      <c r="F11" s="4">
        <v>3</v>
      </c>
      <c r="G11" s="21">
        <v>31.667284011591128</v>
      </c>
      <c r="H11" s="21">
        <v>305.59921889668163</v>
      </c>
      <c r="I11" s="4" t="s">
        <v>76</v>
      </c>
    </row>
    <row r="12" spans="1:10">
      <c r="A12" s="11" t="s">
        <v>86</v>
      </c>
      <c r="B12" s="4">
        <v>286.60000000000002</v>
      </c>
      <c r="C12" s="4">
        <v>-17.399999999999999</v>
      </c>
      <c r="D12" s="4">
        <v>35.5</v>
      </c>
      <c r="E12" s="4">
        <v>11.4</v>
      </c>
      <c r="F12" s="4">
        <v>6</v>
      </c>
      <c r="G12" s="21">
        <v>0.88710243411756551</v>
      </c>
      <c r="H12" s="21">
        <v>309.64178412984785</v>
      </c>
      <c r="I12" s="4" t="s">
        <v>76</v>
      </c>
    </row>
    <row r="13" spans="1:10">
      <c r="A13" s="11" t="s">
        <v>87</v>
      </c>
      <c r="B13" s="4">
        <v>289.39999999999998</v>
      </c>
      <c r="C13" s="4">
        <v>-15</v>
      </c>
      <c r="D13" s="4">
        <v>37.700000000000003</v>
      </c>
      <c r="E13" s="4">
        <v>12.6</v>
      </c>
      <c r="F13" s="4">
        <v>5</v>
      </c>
      <c r="G13" s="21">
        <v>3.3707219530408139</v>
      </c>
      <c r="H13" s="21">
        <v>307.87021646948676</v>
      </c>
      <c r="I13" s="4" t="s">
        <v>76</v>
      </c>
    </row>
    <row r="14" spans="1:10">
      <c r="A14" s="11" t="s">
        <v>88</v>
      </c>
      <c r="B14" s="4">
        <v>295.5</v>
      </c>
      <c r="C14" s="4">
        <v>-11.8</v>
      </c>
      <c r="D14" s="4">
        <v>79.400000000000006</v>
      </c>
      <c r="E14" s="4">
        <v>12.6</v>
      </c>
      <c r="F14" s="4">
        <v>5</v>
      </c>
      <c r="G14" s="21">
        <v>7.7669037122151394</v>
      </c>
      <c r="H14" s="21">
        <v>303.36004942113556</v>
      </c>
      <c r="I14" s="4" t="s">
        <v>76</v>
      </c>
    </row>
    <row r="15" spans="1:10">
      <c r="A15" s="11" t="s">
        <v>89</v>
      </c>
      <c r="B15" s="4">
        <v>105.1</v>
      </c>
      <c r="C15" s="4">
        <v>10</v>
      </c>
      <c r="D15" s="4">
        <v>29.8</v>
      </c>
      <c r="E15" s="4">
        <v>10.3</v>
      </c>
      <c r="F15" s="4">
        <v>8</v>
      </c>
      <c r="G15" s="21">
        <v>3.4803390517415096</v>
      </c>
      <c r="H15" s="21">
        <v>312.87616103866088</v>
      </c>
      <c r="I15" s="4" t="s">
        <v>76</v>
      </c>
    </row>
    <row r="16" spans="1:10">
      <c r="A16" s="11" t="s">
        <v>90</v>
      </c>
      <c r="B16" s="4">
        <v>112.7</v>
      </c>
      <c r="C16" s="4">
        <v>11.6</v>
      </c>
      <c r="D16" s="4">
        <v>45.1</v>
      </c>
      <c r="E16" s="4">
        <v>9.1</v>
      </c>
      <c r="F16" s="4">
        <v>7</v>
      </c>
      <c r="G16" s="21">
        <v>6.5187309338466974</v>
      </c>
      <c r="H16" s="21">
        <v>305.87148687743718</v>
      </c>
      <c r="I16" s="4" t="s">
        <v>76</v>
      </c>
    </row>
    <row r="17" spans="1:9">
      <c r="A17" s="11" t="s">
        <v>91</v>
      </c>
      <c r="B17" s="4">
        <v>105.3</v>
      </c>
      <c r="C17" s="4">
        <v>8.8000000000000007</v>
      </c>
      <c r="D17" s="4">
        <v>24.8</v>
      </c>
      <c r="E17" s="4">
        <v>12.4</v>
      </c>
      <c r="F17" s="4">
        <v>7</v>
      </c>
      <c r="G17" s="21">
        <v>4.1094008881273112</v>
      </c>
      <c r="H17" s="21">
        <v>313.01386419587726</v>
      </c>
      <c r="I17" s="4" t="s">
        <v>76</v>
      </c>
    </row>
    <row r="18" spans="1:9">
      <c r="A18" s="11" t="s">
        <v>92</v>
      </c>
      <c r="B18" s="4">
        <v>112.7</v>
      </c>
      <c r="C18" s="4">
        <v>6.1</v>
      </c>
      <c r="D18" s="4">
        <v>143.5</v>
      </c>
      <c r="E18" s="4">
        <v>6.4</v>
      </c>
      <c r="F18" s="4">
        <v>5</v>
      </c>
      <c r="G18" s="21">
        <v>8.9662440495780089</v>
      </c>
      <c r="H18" s="21">
        <v>307.24700643963598</v>
      </c>
      <c r="I18" s="4" t="s">
        <v>76</v>
      </c>
    </row>
    <row r="19" spans="1:9">
      <c r="A19" s="11" t="s">
        <v>93</v>
      </c>
      <c r="B19" s="4">
        <v>120.9</v>
      </c>
      <c r="C19" s="4">
        <v>-8.8000000000000007</v>
      </c>
      <c r="D19" s="4">
        <v>39.5</v>
      </c>
      <c r="E19" s="4">
        <v>12.3</v>
      </c>
      <c r="F19" s="4">
        <v>5</v>
      </c>
      <c r="G19" s="21">
        <v>19.470735620745145</v>
      </c>
      <c r="H19" s="21">
        <v>303.54825818733298</v>
      </c>
      <c r="I19" s="4" t="s">
        <v>76</v>
      </c>
    </row>
    <row r="20" spans="1:9">
      <c r="A20" s="11" t="s">
        <v>94</v>
      </c>
      <c r="B20" s="4">
        <v>113.8</v>
      </c>
      <c r="C20" s="4">
        <v>-1.8</v>
      </c>
      <c r="D20" s="4">
        <v>40.9</v>
      </c>
      <c r="E20" s="4">
        <v>9.5</v>
      </c>
      <c r="F20" s="4">
        <v>7</v>
      </c>
      <c r="G20" s="21">
        <v>12.957121887357715</v>
      </c>
      <c r="H20" s="21">
        <v>308.24252332153469</v>
      </c>
      <c r="I20" s="4" t="s">
        <v>76</v>
      </c>
    </row>
    <row r="21" spans="1:9">
      <c r="G21" s="21"/>
      <c r="H21" s="21"/>
    </row>
    <row r="22" spans="1:9">
      <c r="G22" s="21"/>
      <c r="H22" s="21"/>
    </row>
    <row r="23" spans="1:9">
      <c r="G23" s="21"/>
      <c r="H23" s="21"/>
    </row>
    <row r="24" spans="1:9">
      <c r="E24" s="21"/>
      <c r="G24" s="21"/>
      <c r="H24" s="21"/>
    </row>
    <row r="25" spans="1:9">
      <c r="E25" s="21"/>
      <c r="G25" s="21"/>
    </row>
    <row r="26" spans="1:9">
      <c r="E26" s="21"/>
      <c r="G26" s="21"/>
    </row>
    <row r="27" spans="1:9">
      <c r="E27" s="21"/>
      <c r="G27" s="21"/>
    </row>
    <row r="28" spans="1:9">
      <c r="E28" s="21"/>
      <c r="G28" s="21"/>
    </row>
    <row r="29" spans="1:9">
      <c r="E29" s="21"/>
      <c r="G29" s="21"/>
    </row>
    <row r="30" spans="1:9">
      <c r="E30" s="21"/>
      <c r="G30" s="21"/>
    </row>
    <row r="31" spans="1:9">
      <c r="E31" s="21"/>
      <c r="G31" s="21"/>
    </row>
    <row r="32" spans="1:9">
      <c r="E32" s="21"/>
      <c r="G32" s="21"/>
    </row>
    <row r="33" spans="5:7">
      <c r="E33" s="21"/>
      <c r="G33" s="21"/>
    </row>
    <row r="34" spans="5:7">
      <c r="E34" s="21"/>
      <c r="G34" s="21"/>
    </row>
    <row r="35" spans="5:7">
      <c r="E35" s="21"/>
      <c r="G35" s="21"/>
    </row>
    <row r="36" spans="5:7">
      <c r="E36" s="21"/>
      <c r="G36" s="21"/>
    </row>
    <row r="37" spans="5:7">
      <c r="E37" s="21"/>
      <c r="G37" s="21"/>
    </row>
    <row r="38" spans="5:7">
      <c r="E38" s="21"/>
      <c r="G38" s="21"/>
    </row>
    <row r="39" spans="5:7">
      <c r="E39" s="21"/>
      <c r="G39" s="21"/>
    </row>
    <row r="40" spans="5:7">
      <c r="E40" s="21"/>
      <c r="G40" s="21"/>
    </row>
    <row r="41" spans="5:7">
      <c r="E41" s="21"/>
      <c r="G41" s="21"/>
    </row>
    <row r="42" spans="5:7">
      <c r="E42" s="21"/>
      <c r="G42" s="2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F1E245-4F71-4E38-B3D1-C9E8993F813A}">
  <dimension ref="A1:J37"/>
  <sheetViews>
    <sheetView topLeftCell="A16" zoomScaleNormal="100" workbookViewId="0">
      <selection activeCell="L38" sqref="L38"/>
    </sheetView>
  </sheetViews>
  <sheetFormatPr defaultRowHeight="12.5"/>
  <cols>
    <col min="1" max="1" width="12.81640625" customWidth="1"/>
    <col min="10" max="10" width="15.81640625" customWidth="1"/>
  </cols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9</v>
      </c>
      <c r="J1" t="s">
        <v>8</v>
      </c>
    </row>
    <row r="2" spans="1:10">
      <c r="A2" t="s">
        <v>31</v>
      </c>
      <c r="B2">
        <v>108.1</v>
      </c>
      <c r="C2">
        <v>-18.600000000000001</v>
      </c>
      <c r="D2">
        <v>28</v>
      </c>
      <c r="E2">
        <v>11.6</v>
      </c>
      <c r="F2">
        <v>7</v>
      </c>
      <c r="G2">
        <v>-18.367277889603528</v>
      </c>
      <c r="H2">
        <v>137.68713449717404</v>
      </c>
      <c r="I2" t="s">
        <v>30</v>
      </c>
    </row>
    <row r="3" spans="1:10">
      <c r="A3" t="s">
        <v>32</v>
      </c>
      <c r="B3">
        <v>281.10000000000002</v>
      </c>
      <c r="C3">
        <v>12.1</v>
      </c>
      <c r="D3">
        <v>8</v>
      </c>
      <c r="E3">
        <v>24.9</v>
      </c>
      <c r="F3">
        <v>6</v>
      </c>
      <c r="G3">
        <v>-11.491486089848351</v>
      </c>
      <c r="H3">
        <v>141.36128478810076</v>
      </c>
      <c r="I3" t="s">
        <v>30</v>
      </c>
    </row>
    <row r="4" spans="1:10">
      <c r="A4" t="s">
        <v>33</v>
      </c>
      <c r="B4">
        <v>293.3</v>
      </c>
      <c r="C4">
        <v>23.3</v>
      </c>
      <c r="D4">
        <v>9</v>
      </c>
      <c r="E4">
        <v>43.1</v>
      </c>
      <c r="F4">
        <v>3</v>
      </c>
      <c r="G4">
        <v>23.489181395570881</v>
      </c>
      <c r="H4">
        <v>314.9342381225398</v>
      </c>
      <c r="I4" t="s">
        <v>30</v>
      </c>
    </row>
    <row r="5" spans="1:10">
      <c r="A5" t="s">
        <v>34</v>
      </c>
      <c r="B5">
        <v>110.8</v>
      </c>
      <c r="C5">
        <v>-22.2</v>
      </c>
      <c r="D5">
        <v>10</v>
      </c>
      <c r="E5">
        <v>40.9</v>
      </c>
      <c r="F5">
        <v>3</v>
      </c>
      <c r="G5">
        <v>-21.537509649347115</v>
      </c>
      <c r="H5">
        <v>136.66685224970314</v>
      </c>
      <c r="I5" t="s">
        <v>30</v>
      </c>
    </row>
    <row r="6" spans="1:10">
      <c r="A6" t="s">
        <v>35</v>
      </c>
      <c r="B6">
        <v>260.5</v>
      </c>
      <c r="C6">
        <v>17.2</v>
      </c>
      <c r="D6">
        <v>7</v>
      </c>
      <c r="E6">
        <v>50.6</v>
      </c>
      <c r="F6">
        <v>3</v>
      </c>
      <c r="G6">
        <v>1.5305436740684257</v>
      </c>
      <c r="H6">
        <v>339.53</v>
      </c>
      <c r="I6" t="s">
        <v>30</v>
      </c>
    </row>
    <row r="7" spans="1:10">
      <c r="A7" t="s">
        <v>36</v>
      </c>
      <c r="B7">
        <v>285.5</v>
      </c>
      <c r="C7">
        <v>0.1</v>
      </c>
      <c r="D7">
        <v>18</v>
      </c>
      <c r="E7">
        <v>22.5</v>
      </c>
      <c r="F7">
        <v>4</v>
      </c>
      <c r="G7">
        <v>9.1437438363275447</v>
      </c>
      <c r="H7">
        <v>314.1305033606568</v>
      </c>
      <c r="I7" t="s">
        <v>30</v>
      </c>
    </row>
    <row r="8" spans="1:10">
      <c r="A8" t="s">
        <v>37</v>
      </c>
      <c r="B8">
        <v>92.7</v>
      </c>
      <c r="C8">
        <v>-15.9</v>
      </c>
      <c r="D8" t="s">
        <v>38</v>
      </c>
      <c r="E8" t="s">
        <v>38</v>
      </c>
      <c r="F8">
        <v>2</v>
      </c>
      <c r="G8">
        <v>-8.120155750088685</v>
      </c>
      <c r="H8">
        <v>149.35700702025625</v>
      </c>
      <c r="I8" t="s">
        <v>30</v>
      </c>
    </row>
    <row r="9" spans="1:10">
      <c r="A9" t="s">
        <v>39</v>
      </c>
      <c r="B9">
        <v>270.3</v>
      </c>
      <c r="C9">
        <v>16.8</v>
      </c>
      <c r="D9">
        <v>7</v>
      </c>
      <c r="E9">
        <v>37</v>
      </c>
      <c r="F9">
        <v>4</v>
      </c>
      <c r="G9">
        <v>7.0862931657263886</v>
      </c>
      <c r="H9">
        <f>360-28.4329467765891</f>
        <v>331.56705322341088</v>
      </c>
      <c r="I9" t="s">
        <v>30</v>
      </c>
    </row>
    <row r="10" spans="1:10">
      <c r="A10" t="s">
        <v>40</v>
      </c>
      <c r="B10">
        <v>113.6</v>
      </c>
      <c r="C10">
        <v>-21.4</v>
      </c>
      <c r="D10">
        <v>8</v>
      </c>
      <c r="E10">
        <v>22.2</v>
      </c>
      <c r="F10">
        <v>7</v>
      </c>
      <c r="G10">
        <v>-22.802858674931414</v>
      </c>
      <c r="H10">
        <v>133.99181058765799</v>
      </c>
      <c r="I10" t="s">
        <v>30</v>
      </c>
    </row>
    <row r="11" spans="1:10">
      <c r="A11" t="s">
        <v>41</v>
      </c>
      <c r="B11">
        <v>119.8</v>
      </c>
      <c r="C11">
        <v>-15.7</v>
      </c>
      <c r="D11">
        <v>24</v>
      </c>
      <c r="E11">
        <v>14.2</v>
      </c>
      <c r="F11">
        <v>6</v>
      </c>
      <c r="G11">
        <v>-23.798258749433373</v>
      </c>
      <c r="H11">
        <v>126.61370770691929</v>
      </c>
      <c r="I11" t="s">
        <v>30</v>
      </c>
    </row>
    <row r="12" spans="1:10">
      <c r="A12" t="s">
        <v>42</v>
      </c>
      <c r="B12">
        <v>302.3</v>
      </c>
      <c r="C12">
        <v>15.9</v>
      </c>
      <c r="D12">
        <v>35</v>
      </c>
      <c r="E12">
        <v>14.1</v>
      </c>
      <c r="F12">
        <v>5</v>
      </c>
      <c r="G12">
        <v>25.266137478706511</v>
      </c>
      <c r="H12">
        <v>304.41956665694084</v>
      </c>
      <c r="I12" t="s">
        <v>30</v>
      </c>
    </row>
    <row r="13" spans="1:10">
      <c r="A13" t="s">
        <v>43</v>
      </c>
      <c r="B13">
        <v>297.8</v>
      </c>
      <c r="C13">
        <v>4.4000000000000004</v>
      </c>
      <c r="D13">
        <v>9</v>
      </c>
      <c r="E13">
        <v>23.9</v>
      </c>
      <c r="F13">
        <v>6</v>
      </c>
      <c r="G13">
        <v>17.871690375138357</v>
      </c>
      <c r="H13">
        <v>304.93962460396494</v>
      </c>
      <c r="I13" t="s">
        <v>30</v>
      </c>
    </row>
    <row r="14" spans="1:10">
      <c r="A14" t="s">
        <v>44</v>
      </c>
      <c r="B14">
        <v>284</v>
      </c>
      <c r="C14">
        <v>17.8</v>
      </c>
      <c r="D14">
        <v>94</v>
      </c>
      <c r="E14">
        <v>6.2</v>
      </c>
      <c r="F14">
        <v>7</v>
      </c>
      <c r="G14">
        <v>15.613843280420909</v>
      </c>
      <c r="H14">
        <v>320.81962771650473</v>
      </c>
      <c r="I14" t="s">
        <v>30</v>
      </c>
    </row>
    <row r="15" spans="1:10">
      <c r="A15" t="s">
        <v>45</v>
      </c>
      <c r="B15">
        <v>298.60000000000002</v>
      </c>
      <c r="C15">
        <v>-4.5999999999999996</v>
      </c>
      <c r="D15">
        <v>13</v>
      </c>
      <c r="E15">
        <v>35.9</v>
      </c>
      <c r="F15">
        <v>3</v>
      </c>
      <c r="G15">
        <v>-14.52292331616303</v>
      </c>
      <c r="H15">
        <v>121.68942794294183</v>
      </c>
      <c r="I15" t="s">
        <v>30</v>
      </c>
    </row>
    <row r="16" spans="1:10">
      <c r="A16" t="s">
        <v>46</v>
      </c>
      <c r="B16">
        <v>118.3</v>
      </c>
      <c r="C16">
        <v>-5.4</v>
      </c>
      <c r="D16">
        <v>283</v>
      </c>
      <c r="E16">
        <v>12.2</v>
      </c>
      <c r="F16">
        <v>3</v>
      </c>
      <c r="G16">
        <v>-18.566333655763216</v>
      </c>
      <c r="H16">
        <v>124.79156334148581</v>
      </c>
      <c r="I16" t="s">
        <v>30</v>
      </c>
    </row>
    <row r="17" spans="1:9">
      <c r="A17" t="s">
        <v>47</v>
      </c>
      <c r="B17">
        <v>293.3</v>
      </c>
      <c r="C17">
        <v>17.100000000000001</v>
      </c>
      <c r="D17">
        <v>14</v>
      </c>
      <c r="E17">
        <v>15.4</v>
      </c>
      <c r="F17">
        <v>8</v>
      </c>
      <c r="G17">
        <v>20.730513755707904</v>
      </c>
      <c r="H17">
        <v>312.77500279287517</v>
      </c>
      <c r="I17" t="s">
        <v>30</v>
      </c>
    </row>
    <row r="18" spans="1:9">
      <c r="A18" t="s">
        <v>48</v>
      </c>
      <c r="B18">
        <v>95.8</v>
      </c>
      <c r="C18">
        <v>-22.3</v>
      </c>
      <c r="D18">
        <v>42</v>
      </c>
      <c r="E18">
        <v>10.5</v>
      </c>
      <c r="F18">
        <v>6</v>
      </c>
      <c r="G18">
        <v>-12.738738562677824</v>
      </c>
      <c r="H18">
        <v>148.9999128790752</v>
      </c>
      <c r="I18" t="s">
        <v>30</v>
      </c>
    </row>
    <row r="19" spans="1:9">
      <c r="A19" t="s">
        <v>49</v>
      </c>
      <c r="B19">
        <v>285.89999999999998</v>
      </c>
      <c r="C19">
        <v>13.9</v>
      </c>
      <c r="D19">
        <v>199</v>
      </c>
      <c r="E19">
        <v>10.3</v>
      </c>
      <c r="F19">
        <v>3</v>
      </c>
      <c r="G19">
        <v>15.065830916669952</v>
      </c>
      <c r="H19">
        <v>317.97845367762739</v>
      </c>
      <c r="I19" t="s">
        <v>30</v>
      </c>
    </row>
    <row r="20" spans="1:9">
      <c r="A20" t="s">
        <v>50</v>
      </c>
      <c r="B20">
        <v>310.39999999999998</v>
      </c>
      <c r="C20">
        <v>-18.600000000000001</v>
      </c>
      <c r="D20">
        <v>5</v>
      </c>
      <c r="E20">
        <v>32.200000000000003</v>
      </c>
      <c r="F20">
        <v>7</v>
      </c>
      <c r="G20">
        <v>14.160785606283213</v>
      </c>
      <c r="H20">
        <v>287.46116917157167</v>
      </c>
      <c r="I20" t="s">
        <v>30</v>
      </c>
    </row>
    <row r="21" spans="1:9">
      <c r="A21" t="s">
        <v>51</v>
      </c>
      <c r="B21">
        <v>276.7</v>
      </c>
      <c r="C21">
        <v>25.5</v>
      </c>
      <c r="D21">
        <v>25</v>
      </c>
      <c r="E21">
        <v>25.3</v>
      </c>
      <c r="F21">
        <v>3</v>
      </c>
      <c r="G21">
        <v>14.723053148656845</v>
      </c>
      <c r="H21">
        <v>329.41858726911266</v>
      </c>
      <c r="I21" t="s">
        <v>30</v>
      </c>
    </row>
    <row r="22" spans="1:9">
      <c r="A22" t="s">
        <v>52</v>
      </c>
      <c r="B22">
        <v>118.2</v>
      </c>
      <c r="C22">
        <v>-12.7</v>
      </c>
      <c r="D22">
        <v>87</v>
      </c>
      <c r="E22">
        <v>13.3</v>
      </c>
      <c r="F22">
        <v>3</v>
      </c>
      <c r="G22">
        <v>-21.606980862849554</v>
      </c>
      <c r="H22">
        <v>127.08176888513574</v>
      </c>
      <c r="I22" t="s">
        <v>30</v>
      </c>
    </row>
    <row r="23" spans="1:9">
      <c r="A23" t="s">
        <v>53</v>
      </c>
      <c r="B23">
        <v>257.2</v>
      </c>
      <c r="C23">
        <v>34.200000000000003</v>
      </c>
      <c r="D23">
        <v>23</v>
      </c>
      <c r="E23">
        <v>26.1</v>
      </c>
      <c r="F23">
        <v>3</v>
      </c>
      <c r="G23">
        <v>7.7648377141894116</v>
      </c>
      <c r="H23">
        <v>347.97567900760993</v>
      </c>
      <c r="I23" t="s">
        <v>30</v>
      </c>
    </row>
    <row r="24" spans="1:9">
      <c r="A24" t="s">
        <v>54</v>
      </c>
      <c r="B24">
        <v>100.1</v>
      </c>
      <c r="C24">
        <v>-21.4</v>
      </c>
      <c r="D24">
        <v>13</v>
      </c>
      <c r="E24">
        <v>26.6</v>
      </c>
      <c r="F24">
        <v>4</v>
      </c>
      <c r="G24">
        <v>-14.883514872163076</v>
      </c>
      <c r="H24">
        <v>145.22621973673461</v>
      </c>
      <c r="I24" t="s">
        <v>30</v>
      </c>
    </row>
    <row r="25" spans="1:9">
      <c r="A25" t="s">
        <v>55</v>
      </c>
      <c r="B25">
        <v>281.8</v>
      </c>
      <c r="C25">
        <v>-3.6</v>
      </c>
      <c r="D25">
        <v>20</v>
      </c>
      <c r="E25">
        <v>15.6</v>
      </c>
      <c r="F25">
        <v>6</v>
      </c>
      <c r="G25">
        <v>5.4895774965722524</v>
      </c>
      <c r="H25">
        <v>316.08630056655517</v>
      </c>
      <c r="I25" t="s">
        <v>30</v>
      </c>
    </row>
    <row r="26" spans="1:9">
      <c r="A26" t="s">
        <v>56</v>
      </c>
      <c r="B26">
        <v>271.5</v>
      </c>
      <c r="C26">
        <v>16.8</v>
      </c>
      <c r="D26">
        <v>51</v>
      </c>
      <c r="E26">
        <v>8.5</v>
      </c>
      <c r="F26">
        <v>7</v>
      </c>
      <c r="G26">
        <v>7.7946191658296158</v>
      </c>
      <c r="H26">
        <v>330.60702373856316</v>
      </c>
      <c r="I26" t="s">
        <v>30</v>
      </c>
    </row>
    <row r="27" spans="1:9">
      <c r="A27" t="s">
        <v>57</v>
      </c>
      <c r="B27">
        <v>283.8</v>
      </c>
      <c r="C27">
        <v>13.3</v>
      </c>
      <c r="D27">
        <v>24</v>
      </c>
      <c r="E27">
        <v>11.6</v>
      </c>
      <c r="F27">
        <v>8</v>
      </c>
      <c r="G27">
        <v>13.582013694737654</v>
      </c>
      <c r="H27">
        <v>319.52409669874476</v>
      </c>
      <c r="I27" t="s">
        <v>30</v>
      </c>
    </row>
    <row r="28" spans="1:9">
      <c r="A28" t="s">
        <v>58</v>
      </c>
      <c r="B28">
        <v>291.60000000000002</v>
      </c>
      <c r="C28">
        <v>25.8</v>
      </c>
      <c r="D28">
        <v>15</v>
      </c>
      <c r="E28">
        <v>24.3</v>
      </c>
      <c r="F28">
        <v>4</v>
      </c>
      <c r="G28">
        <v>23.652103310431372</v>
      </c>
      <c r="H28">
        <v>317.3201954468089</v>
      </c>
      <c r="I28" t="s">
        <v>30</v>
      </c>
    </row>
    <row r="29" spans="1:9">
      <c r="A29" t="s">
        <v>59</v>
      </c>
      <c r="B29">
        <v>276.5</v>
      </c>
      <c r="C29">
        <v>19.100000000000001</v>
      </c>
      <c r="D29">
        <v>36</v>
      </c>
      <c r="E29">
        <v>11.3</v>
      </c>
      <c r="F29">
        <v>6</v>
      </c>
      <c r="G29">
        <v>11.74337316872689</v>
      </c>
      <c r="H29">
        <v>327.34974638318556</v>
      </c>
      <c r="I29" t="s">
        <v>30</v>
      </c>
    </row>
    <row r="30" spans="1:9">
      <c r="A30" t="s">
        <v>60</v>
      </c>
      <c r="B30">
        <v>264.10000000000002</v>
      </c>
      <c r="C30">
        <v>10.1</v>
      </c>
      <c r="D30">
        <v>39</v>
      </c>
      <c r="E30">
        <v>15</v>
      </c>
      <c r="F30">
        <v>4</v>
      </c>
      <c r="G30">
        <v>0.62346132145758304</v>
      </c>
      <c r="H30">
        <v>334.46114665694273</v>
      </c>
      <c r="I30" t="s">
        <v>30</v>
      </c>
    </row>
    <row r="31" spans="1:9">
      <c r="A31" t="s">
        <v>61</v>
      </c>
      <c r="B31">
        <v>296.8</v>
      </c>
      <c r="C31">
        <v>4</v>
      </c>
      <c r="D31">
        <v>16</v>
      </c>
      <c r="E31">
        <v>23.6</v>
      </c>
      <c r="F31">
        <v>4</v>
      </c>
      <c r="G31">
        <v>17.152934321257845</v>
      </c>
      <c r="H31">
        <v>305.69750643881878</v>
      </c>
      <c r="I31" t="s">
        <v>30</v>
      </c>
    </row>
    <row r="32" spans="1:9">
      <c r="A32" t="s">
        <v>62</v>
      </c>
      <c r="B32">
        <v>112.5</v>
      </c>
      <c r="C32">
        <v>-24.3</v>
      </c>
      <c r="D32">
        <v>63</v>
      </c>
      <c r="E32">
        <v>15.7</v>
      </c>
      <c r="F32">
        <v>3</v>
      </c>
      <c r="G32">
        <v>-23.482608604328078</v>
      </c>
      <c r="H32">
        <v>135.98835695359895</v>
      </c>
      <c r="I32" t="s">
        <v>30</v>
      </c>
    </row>
    <row r="33" spans="1:9">
      <c r="A33" t="s">
        <v>63</v>
      </c>
      <c r="B33">
        <v>105</v>
      </c>
      <c r="C33">
        <v>-12.8</v>
      </c>
      <c r="D33">
        <v>8</v>
      </c>
      <c r="E33">
        <v>25.3</v>
      </c>
      <c r="F33">
        <v>6</v>
      </c>
      <c r="G33">
        <v>-14.07615074813873</v>
      </c>
      <c r="H33">
        <v>138.37530542130864</v>
      </c>
      <c r="I33" t="s">
        <v>30</v>
      </c>
    </row>
    <row r="34" spans="1:9">
      <c r="A34" t="s">
        <v>64</v>
      </c>
      <c r="B34">
        <v>294.7</v>
      </c>
      <c r="C34">
        <v>31.5</v>
      </c>
      <c r="D34">
        <v>13</v>
      </c>
      <c r="E34">
        <v>26.8</v>
      </c>
      <c r="F34">
        <v>4</v>
      </c>
      <c r="G34">
        <v>28.205252545942088</v>
      </c>
      <c r="H34">
        <v>316.99487285765434</v>
      </c>
      <c r="I34" t="s">
        <v>30</v>
      </c>
    </row>
    <row r="35" spans="1:9">
      <c r="A35" t="s">
        <v>65</v>
      </c>
      <c r="B35">
        <v>98.1</v>
      </c>
      <c r="C35">
        <v>-18.600000000000001</v>
      </c>
      <c r="D35">
        <v>23</v>
      </c>
      <c r="E35">
        <v>19.600000000000001</v>
      </c>
      <c r="F35">
        <v>4</v>
      </c>
      <c r="G35">
        <v>-12.473692525677862</v>
      </c>
      <c r="H35">
        <v>145.89335583885349</v>
      </c>
      <c r="I35" t="s">
        <v>30</v>
      </c>
    </row>
    <row r="36" spans="1:9">
      <c r="A36" t="s">
        <v>66</v>
      </c>
      <c r="B36">
        <v>89</v>
      </c>
      <c r="C36">
        <v>-17</v>
      </c>
      <c r="D36">
        <v>25</v>
      </c>
      <c r="E36">
        <v>16.100000000000001</v>
      </c>
      <c r="F36">
        <v>5</v>
      </c>
      <c r="G36">
        <v>-6.4058499695166375</v>
      </c>
      <c r="H36">
        <v>152.67026812178983</v>
      </c>
      <c r="I36" t="s">
        <v>30</v>
      </c>
    </row>
    <row r="37" spans="1:9">
      <c r="A37" t="s">
        <v>67</v>
      </c>
      <c r="B37">
        <v>125.5</v>
      </c>
      <c r="C37">
        <v>-23.9</v>
      </c>
      <c r="D37">
        <v>14</v>
      </c>
      <c r="E37">
        <v>18.3</v>
      </c>
      <c r="F37">
        <v>6</v>
      </c>
      <c r="G37">
        <v>-30.662801619877257</v>
      </c>
      <c r="H37">
        <v>124.22312042648012</v>
      </c>
      <c r="I37" t="s">
        <v>30</v>
      </c>
    </row>
  </sheetData>
  <phoneticPr fontId="6" type="noConversion"/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5C91D9-F6A6-45C1-A727-6ECBAD92C1A4}">
  <dimension ref="A1:K8"/>
  <sheetViews>
    <sheetView workbookViewId="0">
      <selection activeCell="F17" sqref="F17"/>
    </sheetView>
  </sheetViews>
  <sheetFormatPr defaultRowHeight="12.5"/>
  <cols>
    <col min="9" max="9" width="18.36328125" bestFit="1" customWidth="1"/>
    <col min="10" max="10" width="15.81640625" customWidth="1"/>
  </cols>
  <sheetData>
    <row r="1" spans="1:11" ht="13">
      <c r="A1" s="8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22" t="s">
        <v>9</v>
      </c>
      <c r="J1" s="22" t="s">
        <v>8</v>
      </c>
      <c r="K1" s="7"/>
    </row>
    <row r="2" spans="1:11" ht="16">
      <c r="A2" t="s">
        <v>68</v>
      </c>
      <c r="B2">
        <v>108.2</v>
      </c>
      <c r="C2">
        <v>-9.1</v>
      </c>
      <c r="D2">
        <v>78.099999999999994</v>
      </c>
      <c r="E2">
        <v>5.9</v>
      </c>
      <c r="F2">
        <v>9</v>
      </c>
      <c r="G2" s="4">
        <v>-14.2</v>
      </c>
      <c r="H2" s="4">
        <v>134.4</v>
      </c>
      <c r="I2" s="54" t="s">
        <v>69</v>
      </c>
    </row>
    <row r="3" spans="1:11" ht="16">
      <c r="A3" t="s">
        <v>70</v>
      </c>
      <c r="B3">
        <v>120.2</v>
      </c>
      <c r="C3">
        <v>-19.600000000000001</v>
      </c>
      <c r="D3">
        <v>73.5</v>
      </c>
      <c r="E3">
        <v>6</v>
      </c>
      <c r="F3">
        <v>9</v>
      </c>
      <c r="G3" s="4">
        <v>-25.5</v>
      </c>
      <c r="H3" s="4">
        <v>127.2</v>
      </c>
      <c r="I3" s="54" t="s">
        <v>69</v>
      </c>
    </row>
    <row r="4" spans="1:11" ht="16">
      <c r="A4" t="s">
        <v>71</v>
      </c>
      <c r="B4">
        <v>267.10000000000002</v>
      </c>
      <c r="C4">
        <v>26.2</v>
      </c>
      <c r="D4">
        <v>48.8</v>
      </c>
      <c r="E4">
        <v>8.6999999999999993</v>
      </c>
      <c r="F4">
        <v>8</v>
      </c>
      <c r="G4" s="4">
        <v>-9.5</v>
      </c>
      <c r="H4" s="4">
        <v>157.19999999999999</v>
      </c>
      <c r="I4" s="54" t="s">
        <v>69</v>
      </c>
    </row>
    <row r="5" spans="1:11" ht="16">
      <c r="A5" t="s">
        <v>72</v>
      </c>
      <c r="B5">
        <v>292.5</v>
      </c>
      <c r="C5">
        <v>15.2</v>
      </c>
      <c r="D5">
        <v>39.1</v>
      </c>
      <c r="E5">
        <v>8.3000000000000007</v>
      </c>
      <c r="F5">
        <v>9</v>
      </c>
      <c r="G5" s="4">
        <v>-19.3</v>
      </c>
      <c r="H5" s="4">
        <v>132.6</v>
      </c>
      <c r="I5" s="54" t="s">
        <v>69</v>
      </c>
    </row>
    <row r="6" spans="1:11" ht="16">
      <c r="A6" t="s">
        <v>73</v>
      </c>
      <c r="B6">
        <v>278.3</v>
      </c>
      <c r="C6">
        <v>14.4</v>
      </c>
      <c r="D6">
        <v>34.799999999999997</v>
      </c>
      <c r="E6">
        <v>8.9</v>
      </c>
      <c r="F6">
        <v>9</v>
      </c>
      <c r="G6" s="4">
        <v>-10.8</v>
      </c>
      <c r="H6" s="4">
        <v>144.19999999999999</v>
      </c>
      <c r="I6" s="54" t="s">
        <v>69</v>
      </c>
    </row>
    <row r="7" spans="1:11" ht="16">
      <c r="A7" t="s">
        <v>74</v>
      </c>
      <c r="B7">
        <v>117</v>
      </c>
      <c r="C7">
        <v>-25.5</v>
      </c>
      <c r="D7">
        <v>23.3</v>
      </c>
      <c r="E7">
        <v>14.2</v>
      </c>
      <c r="F7">
        <v>7</v>
      </c>
      <c r="G7" s="4">
        <v>-26.5</v>
      </c>
      <c r="H7" s="4">
        <v>132.19999999999999</v>
      </c>
      <c r="I7" s="54" t="s">
        <v>69</v>
      </c>
    </row>
    <row r="8" spans="1:11">
      <c r="G8" s="4"/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6C8A34-237D-4F80-ABD6-7618E5C5309C}">
  <dimension ref="A1:J6"/>
  <sheetViews>
    <sheetView workbookViewId="0">
      <selection activeCell="H7" sqref="H7"/>
    </sheetView>
  </sheetViews>
  <sheetFormatPr defaultRowHeight="12.5"/>
  <cols>
    <col min="2" max="2" width="9.81640625" customWidth="1"/>
    <col min="9" max="9" width="16.54296875" bestFit="1" customWidth="1"/>
    <col min="10" max="10" width="15.81640625" customWidth="1"/>
  </cols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9</v>
      </c>
      <c r="J1" t="s">
        <v>8</v>
      </c>
    </row>
    <row r="2" spans="1:10">
      <c r="A2" t="s">
        <v>135</v>
      </c>
      <c r="B2">
        <v>31.8</v>
      </c>
      <c r="C2">
        <v>-58</v>
      </c>
      <c r="D2">
        <v>134</v>
      </c>
      <c r="E2">
        <v>2.5</v>
      </c>
      <c r="F2">
        <v>26</v>
      </c>
      <c r="G2">
        <v>4</v>
      </c>
      <c r="H2">
        <v>1.6</v>
      </c>
      <c r="I2" t="s">
        <v>136</v>
      </c>
    </row>
    <row r="3" spans="1:10">
      <c r="A3" t="s">
        <v>137</v>
      </c>
      <c r="B3">
        <v>36.700000000000003</v>
      </c>
      <c r="C3">
        <v>-82</v>
      </c>
      <c r="D3">
        <v>52</v>
      </c>
      <c r="E3">
        <v>4.7</v>
      </c>
      <c r="F3">
        <v>19</v>
      </c>
      <c r="G3">
        <v>38.4</v>
      </c>
      <c r="H3">
        <v>14.5</v>
      </c>
      <c r="I3" t="s">
        <v>136</v>
      </c>
    </row>
    <row r="4" spans="1:10">
      <c r="A4" t="s">
        <v>138</v>
      </c>
      <c r="B4">
        <v>186.6</v>
      </c>
      <c r="C4">
        <v>83.2</v>
      </c>
      <c r="D4">
        <v>536</v>
      </c>
      <c r="E4">
        <v>5.3</v>
      </c>
      <c r="F4">
        <v>3</v>
      </c>
      <c r="G4">
        <v>37.9</v>
      </c>
      <c r="H4">
        <v>24.1</v>
      </c>
      <c r="I4" t="s">
        <v>136</v>
      </c>
    </row>
    <row r="5" spans="1:10">
      <c r="A5" t="s">
        <v>139</v>
      </c>
      <c r="B5">
        <v>23.7</v>
      </c>
      <c r="C5">
        <v>-47</v>
      </c>
      <c r="D5">
        <v>14</v>
      </c>
      <c r="E5">
        <v>18.5</v>
      </c>
      <c r="F5">
        <v>6</v>
      </c>
      <c r="G5">
        <v>-7.8</v>
      </c>
      <c r="H5">
        <v>5.0999999999999996</v>
      </c>
      <c r="I5" t="s">
        <v>136</v>
      </c>
    </row>
    <row r="6" spans="1:10">
      <c r="A6" t="s">
        <v>140</v>
      </c>
      <c r="B6">
        <v>269.39999999999998</v>
      </c>
      <c r="C6">
        <v>71.7</v>
      </c>
      <c r="D6">
        <v>211</v>
      </c>
      <c r="E6">
        <v>8.5</v>
      </c>
      <c r="F6">
        <v>52</v>
      </c>
      <c r="G6">
        <v>40.299999999999997</v>
      </c>
      <c r="H6">
        <v>339.7</v>
      </c>
      <c r="I6" t="s">
        <v>136</v>
      </c>
    </row>
  </sheetData>
  <phoneticPr fontId="6" type="noConversion"/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FE5BAD-C3A6-49C5-9B7D-9E8121B34A9A}">
  <dimension ref="A1:J25"/>
  <sheetViews>
    <sheetView workbookViewId="0">
      <selection sqref="A1:A1048576"/>
    </sheetView>
  </sheetViews>
  <sheetFormatPr defaultRowHeight="12.5"/>
  <cols>
    <col min="9" max="9" width="23.1796875" bestFit="1" customWidth="1"/>
    <col min="10" max="10" width="15.81640625" customWidth="1"/>
  </cols>
  <sheetData>
    <row r="1" spans="1:10" s="4" customFormat="1">
      <c r="A1" s="62" t="s">
        <v>0</v>
      </c>
      <c r="B1" s="56" t="s">
        <v>1</v>
      </c>
      <c r="C1" s="56" t="s">
        <v>2</v>
      </c>
      <c r="D1" s="56" t="s">
        <v>3</v>
      </c>
      <c r="E1" s="56" t="s">
        <v>4</v>
      </c>
      <c r="F1" s="56" t="s">
        <v>5</v>
      </c>
      <c r="G1" s="56" t="s">
        <v>6</v>
      </c>
      <c r="H1" s="56" t="s">
        <v>7</v>
      </c>
      <c r="I1" s="4" t="s">
        <v>9</v>
      </c>
      <c r="J1" s="4" t="s">
        <v>8</v>
      </c>
    </row>
    <row r="2" spans="1:10" ht="14.5">
      <c r="A2" s="14" t="s">
        <v>95</v>
      </c>
      <c r="B2" s="15">
        <v>229.5</v>
      </c>
      <c r="C2">
        <v>29.1</v>
      </c>
      <c r="D2">
        <v>21</v>
      </c>
      <c r="E2">
        <v>10.8</v>
      </c>
      <c r="F2">
        <v>10</v>
      </c>
      <c r="G2">
        <v>8.4</v>
      </c>
      <c r="H2">
        <v>189.4</v>
      </c>
      <c r="I2" s="13" t="s">
        <v>96</v>
      </c>
      <c r="J2" s="13"/>
    </row>
    <row r="3" spans="1:10" ht="14.5">
      <c r="A3" s="14" t="s">
        <v>97</v>
      </c>
      <c r="B3" s="15">
        <v>64.599999999999994</v>
      </c>
      <c r="C3">
        <v>-44.2</v>
      </c>
      <c r="D3">
        <v>59.3</v>
      </c>
      <c r="E3">
        <v>12</v>
      </c>
      <c r="F3">
        <v>4</v>
      </c>
      <c r="G3">
        <v>-7.5</v>
      </c>
      <c r="H3">
        <v>182.2</v>
      </c>
      <c r="I3" s="13" t="s">
        <v>96</v>
      </c>
      <c r="J3" s="13"/>
    </row>
    <row r="4" spans="1:10" ht="14.5">
      <c r="A4" s="14" t="s">
        <v>98</v>
      </c>
      <c r="B4" s="15">
        <v>233</v>
      </c>
      <c r="C4">
        <v>45.3</v>
      </c>
      <c r="D4">
        <v>34.799999999999997</v>
      </c>
      <c r="E4">
        <v>11.5</v>
      </c>
      <c r="F4">
        <v>6</v>
      </c>
      <c r="G4">
        <v>-3</v>
      </c>
      <c r="H4">
        <v>191.8</v>
      </c>
      <c r="I4" s="13" t="s">
        <v>96</v>
      </c>
      <c r="J4" s="13"/>
    </row>
    <row r="5" spans="1:10" ht="14.5">
      <c r="A5" s="14" t="s">
        <v>99</v>
      </c>
      <c r="B5" s="15">
        <v>48.8</v>
      </c>
      <c r="C5">
        <v>-49.6</v>
      </c>
      <c r="D5">
        <v>32.1</v>
      </c>
      <c r="E5">
        <v>13.7</v>
      </c>
      <c r="F5">
        <v>5</v>
      </c>
      <c r="G5">
        <v>-4.5999999999999996</v>
      </c>
      <c r="H5">
        <v>196.7</v>
      </c>
      <c r="I5" s="13" t="s">
        <v>96</v>
      </c>
      <c r="J5" s="13"/>
    </row>
    <row r="6" spans="1:10" ht="14.5">
      <c r="A6" s="14" t="s">
        <v>100</v>
      </c>
      <c r="B6" s="15">
        <v>42.6</v>
      </c>
      <c r="C6">
        <v>-35.5</v>
      </c>
      <c r="D6">
        <v>27.8</v>
      </c>
      <c r="E6">
        <v>12.9</v>
      </c>
      <c r="F6">
        <v>6</v>
      </c>
      <c r="G6">
        <v>7.6</v>
      </c>
      <c r="H6">
        <v>197.1</v>
      </c>
      <c r="I6" s="13" t="s">
        <v>96</v>
      </c>
      <c r="J6" s="13"/>
    </row>
    <row r="7" spans="1:10" ht="14.5">
      <c r="A7" s="14" t="s">
        <v>101</v>
      </c>
      <c r="B7" s="15">
        <v>58.3</v>
      </c>
      <c r="C7">
        <v>-34.299999999999997</v>
      </c>
      <c r="D7">
        <v>24.9</v>
      </c>
      <c r="E7">
        <v>10.5</v>
      </c>
      <c r="F7">
        <v>9</v>
      </c>
      <c r="G7">
        <v>1.6</v>
      </c>
      <c r="H7">
        <v>183.4</v>
      </c>
      <c r="I7" s="13" t="s">
        <v>96</v>
      </c>
      <c r="J7" s="13"/>
    </row>
    <row r="8" spans="1:10" ht="14.5">
      <c r="A8" s="14" t="s">
        <v>102</v>
      </c>
      <c r="B8" s="15">
        <v>54.3</v>
      </c>
      <c r="C8">
        <v>-40.5</v>
      </c>
      <c r="D8">
        <v>91.1</v>
      </c>
      <c r="E8">
        <v>6.4</v>
      </c>
      <c r="F8">
        <v>7</v>
      </c>
      <c r="G8">
        <v>-0.3</v>
      </c>
      <c r="H8">
        <v>188.8</v>
      </c>
      <c r="I8" s="13" t="s">
        <v>96</v>
      </c>
      <c r="J8" s="13"/>
    </row>
    <row r="9" spans="1:10" ht="14.5">
      <c r="A9" s="14" t="s">
        <v>103</v>
      </c>
      <c r="B9" s="15">
        <v>240.1</v>
      </c>
      <c r="C9">
        <v>45.6</v>
      </c>
      <c r="D9">
        <v>36.299999999999997</v>
      </c>
      <c r="E9">
        <v>10.1</v>
      </c>
      <c r="F9">
        <v>7</v>
      </c>
      <c r="G9">
        <v>-6.3</v>
      </c>
      <c r="H9">
        <v>186.1</v>
      </c>
      <c r="I9" s="13" t="s">
        <v>96</v>
      </c>
      <c r="J9" s="13"/>
    </row>
    <row r="10" spans="1:10" ht="14.5">
      <c r="A10" s="14" t="s">
        <v>104</v>
      </c>
      <c r="B10" s="15">
        <v>68</v>
      </c>
      <c r="C10">
        <v>-29.4</v>
      </c>
      <c r="D10">
        <v>31.9</v>
      </c>
      <c r="E10">
        <v>10.8</v>
      </c>
      <c r="F10">
        <v>7</v>
      </c>
      <c r="G10">
        <v>-0.4</v>
      </c>
      <c r="H10">
        <v>173.7</v>
      </c>
      <c r="I10" s="13" t="s">
        <v>96</v>
      </c>
      <c r="J10" s="13"/>
    </row>
    <row r="11" spans="1:10" ht="14.5">
      <c r="A11" s="14" t="s">
        <v>105</v>
      </c>
      <c r="B11" s="15">
        <v>61.4</v>
      </c>
      <c r="C11">
        <v>-42.8</v>
      </c>
      <c r="D11">
        <v>43.7</v>
      </c>
      <c r="E11">
        <v>8.5</v>
      </c>
      <c r="F11">
        <v>8</v>
      </c>
      <c r="G11">
        <v>-4.9000000000000004</v>
      </c>
      <c r="H11">
        <v>183.8</v>
      </c>
      <c r="I11" s="13" t="s">
        <v>96</v>
      </c>
      <c r="J11" s="13"/>
    </row>
    <row r="12" spans="1:10" ht="14.5">
      <c r="A12" s="14" t="s">
        <v>106</v>
      </c>
      <c r="B12" s="15">
        <v>63.3</v>
      </c>
      <c r="C12">
        <v>-48.5</v>
      </c>
      <c r="D12">
        <v>66.099999999999994</v>
      </c>
      <c r="E12">
        <v>6.9</v>
      </c>
      <c r="F12">
        <v>8</v>
      </c>
      <c r="G12">
        <v>-9.6999999999999993</v>
      </c>
      <c r="H12">
        <v>184.8</v>
      </c>
      <c r="I12" s="13" t="s">
        <v>96</v>
      </c>
      <c r="J12" s="13"/>
    </row>
    <row r="13" spans="1:10" ht="14.5">
      <c r="A13" s="14" t="s">
        <v>107</v>
      </c>
      <c r="B13" s="15">
        <v>230.2</v>
      </c>
      <c r="C13">
        <v>26.7</v>
      </c>
      <c r="D13">
        <v>24.1</v>
      </c>
      <c r="E13">
        <v>10</v>
      </c>
      <c r="F13">
        <v>10</v>
      </c>
      <c r="G13">
        <v>9.9</v>
      </c>
      <c r="H13">
        <v>187.6</v>
      </c>
      <c r="I13" s="13" t="s">
        <v>96</v>
      </c>
      <c r="J13" s="13"/>
    </row>
    <row r="14" spans="1:10" ht="14.5">
      <c r="A14" s="14" t="s">
        <v>108</v>
      </c>
      <c r="B14" s="15">
        <v>51.3</v>
      </c>
      <c r="C14">
        <v>-26.8</v>
      </c>
      <c r="D14">
        <v>22.5</v>
      </c>
      <c r="E14">
        <v>14.4</v>
      </c>
      <c r="F14">
        <v>6</v>
      </c>
      <c r="G14">
        <v>9.4</v>
      </c>
      <c r="H14">
        <v>186.6</v>
      </c>
      <c r="I14" s="13" t="s">
        <v>96</v>
      </c>
      <c r="J14" s="13"/>
    </row>
    <row r="15" spans="1:10" ht="14.5">
      <c r="A15" s="14" t="s">
        <v>109</v>
      </c>
      <c r="B15" s="15">
        <v>220.8</v>
      </c>
      <c r="C15">
        <v>29.8</v>
      </c>
      <c r="D15">
        <v>16.399999999999999</v>
      </c>
      <c r="E15">
        <v>12.3</v>
      </c>
      <c r="F15">
        <v>10</v>
      </c>
      <c r="G15">
        <v>12.1</v>
      </c>
      <c r="H15">
        <v>196.7</v>
      </c>
      <c r="I15" s="13" t="s">
        <v>96</v>
      </c>
      <c r="J15" s="13"/>
    </row>
    <row r="16" spans="1:10" ht="14.5">
      <c r="A16" s="14" t="s">
        <v>110</v>
      </c>
      <c r="B16" s="15">
        <v>254.4</v>
      </c>
      <c r="C16">
        <v>45.3</v>
      </c>
      <c r="D16">
        <v>27</v>
      </c>
      <c r="E16">
        <v>15</v>
      </c>
      <c r="F16">
        <v>5</v>
      </c>
      <c r="G16">
        <v>-12.7</v>
      </c>
      <c r="H16">
        <v>174.9</v>
      </c>
      <c r="I16" s="13" t="s">
        <v>96</v>
      </c>
      <c r="J16" s="13"/>
    </row>
    <row r="17" spans="1:10" ht="14.5">
      <c r="A17" s="14" t="s">
        <v>111</v>
      </c>
      <c r="B17" s="15">
        <v>238.6</v>
      </c>
      <c r="C17">
        <v>24.5</v>
      </c>
      <c r="D17">
        <v>34.200000000000003</v>
      </c>
      <c r="E17">
        <v>11.6</v>
      </c>
      <c r="F17">
        <v>6</v>
      </c>
      <c r="G17">
        <v>7</v>
      </c>
      <c r="H17">
        <v>179.7</v>
      </c>
      <c r="I17" s="13" t="s">
        <v>96</v>
      </c>
      <c r="J17" s="13"/>
    </row>
    <row r="18" spans="1:10" ht="14.5">
      <c r="A18" s="14" t="s">
        <v>112</v>
      </c>
      <c r="B18" s="15">
        <v>42.8</v>
      </c>
      <c r="C18">
        <v>-37.299999999999997</v>
      </c>
      <c r="D18">
        <v>50.8</v>
      </c>
      <c r="E18">
        <v>9.5</v>
      </c>
      <c r="F18">
        <v>6</v>
      </c>
      <c r="G18">
        <v>6.9</v>
      </c>
      <c r="H18">
        <v>196.9</v>
      </c>
      <c r="I18" s="13" t="s">
        <v>96</v>
      </c>
      <c r="J18" s="13"/>
    </row>
    <row r="19" spans="1:10" ht="14.5">
      <c r="A19" s="14" t="s">
        <v>113</v>
      </c>
      <c r="B19" s="15">
        <v>57</v>
      </c>
      <c r="C19">
        <v>-43.4</v>
      </c>
      <c r="D19">
        <v>58.5</v>
      </c>
      <c r="E19">
        <v>6</v>
      </c>
      <c r="F19">
        <v>11</v>
      </c>
      <c r="G19">
        <v>-3</v>
      </c>
      <c r="H19">
        <v>187.3</v>
      </c>
      <c r="I19" s="13" t="s">
        <v>96</v>
      </c>
      <c r="J19" s="13"/>
    </row>
    <row r="20" spans="1:10" ht="14.5">
      <c r="A20" s="14" t="s">
        <v>114</v>
      </c>
      <c r="B20" s="15">
        <v>228.3</v>
      </c>
      <c r="C20">
        <v>28.5</v>
      </c>
      <c r="D20">
        <v>209.4</v>
      </c>
      <c r="E20">
        <v>4.2</v>
      </c>
      <c r="F20">
        <v>7</v>
      </c>
      <c r="G20">
        <v>9.8000000000000007</v>
      </c>
      <c r="H20">
        <v>189.7</v>
      </c>
      <c r="I20" s="13" t="s">
        <v>96</v>
      </c>
      <c r="J20" s="13"/>
    </row>
    <row r="21" spans="1:10" ht="13.5">
      <c r="A21" s="14" t="s">
        <v>115</v>
      </c>
      <c r="B21">
        <v>226</v>
      </c>
      <c r="C21">
        <v>38.799999999999997</v>
      </c>
      <c r="D21">
        <v>44.8</v>
      </c>
      <c r="E21">
        <v>9.1</v>
      </c>
      <c r="F21">
        <v>7</v>
      </c>
      <c r="G21">
        <v>4.7</v>
      </c>
      <c r="H21">
        <v>194.7</v>
      </c>
      <c r="I21" s="13" t="s">
        <v>96</v>
      </c>
      <c r="J21" s="13"/>
    </row>
    <row r="22" spans="1:10" ht="13.5">
      <c r="A22" s="14" t="s">
        <v>116</v>
      </c>
      <c r="B22">
        <v>55.9</v>
      </c>
      <c r="C22">
        <v>-13.9</v>
      </c>
      <c r="D22">
        <v>68</v>
      </c>
      <c r="E22">
        <v>8.1999999999999993</v>
      </c>
      <c r="F22">
        <v>6</v>
      </c>
      <c r="G22">
        <v>13.4</v>
      </c>
      <c r="H22">
        <v>179.1</v>
      </c>
      <c r="I22" s="13" t="s">
        <v>96</v>
      </c>
      <c r="J22" s="13"/>
    </row>
    <row r="23" spans="1:10" ht="13.5">
      <c r="A23" s="14" t="s">
        <v>117</v>
      </c>
      <c r="B23">
        <v>61.6</v>
      </c>
      <c r="C23">
        <v>-26.7</v>
      </c>
      <c r="D23">
        <v>51.8</v>
      </c>
      <c r="E23">
        <v>10.7</v>
      </c>
      <c r="F23">
        <v>5</v>
      </c>
      <c r="G23">
        <v>4.4000000000000004</v>
      </c>
      <c r="H23">
        <v>177.9</v>
      </c>
      <c r="I23" s="13" t="s">
        <v>96</v>
      </c>
      <c r="J23" s="13"/>
    </row>
    <row r="24" spans="1:10" ht="13.5">
      <c r="A24" s="14" t="s">
        <v>118</v>
      </c>
      <c r="B24">
        <v>65.5</v>
      </c>
      <c r="C24">
        <v>-30.8</v>
      </c>
      <c r="D24">
        <v>184.2</v>
      </c>
      <c r="E24">
        <v>4.5</v>
      </c>
      <c r="F24">
        <v>7</v>
      </c>
      <c r="G24">
        <v>0.3</v>
      </c>
      <c r="H24">
        <v>176</v>
      </c>
      <c r="I24" s="13" t="s">
        <v>96</v>
      </c>
      <c r="J24" s="13"/>
    </row>
    <row r="25" spans="1:10" ht="13.5">
      <c r="A25" s="14" t="s">
        <v>119</v>
      </c>
      <c r="B25">
        <v>63.3</v>
      </c>
      <c r="C25">
        <v>-38.700000000000003</v>
      </c>
      <c r="D25">
        <v>25</v>
      </c>
      <c r="E25">
        <v>11.3</v>
      </c>
      <c r="F25">
        <v>8</v>
      </c>
      <c r="G25">
        <v>-3</v>
      </c>
      <c r="H25">
        <v>180.6</v>
      </c>
      <c r="I25" s="13" t="s">
        <v>96</v>
      </c>
      <c r="J25" s="13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8264B7-0A41-43C4-B20A-A7A2365F8510}">
  <dimension ref="A1:J37"/>
  <sheetViews>
    <sheetView workbookViewId="0">
      <selection activeCell="I20" sqref="I20"/>
    </sheetView>
  </sheetViews>
  <sheetFormatPr defaultRowHeight="12.5"/>
  <cols>
    <col min="8" max="8" width="15.81640625" customWidth="1"/>
    <col min="9" max="9" width="20.81640625" bestFit="1" customWidth="1"/>
  </cols>
  <sheetData>
    <row r="1" spans="1:10">
      <c r="A1" s="60" t="s">
        <v>0</v>
      </c>
      <c r="B1" s="56" t="s">
        <v>1</v>
      </c>
      <c r="C1" s="56" t="s">
        <v>2</v>
      </c>
      <c r="D1" s="56" t="s">
        <v>3</v>
      </c>
      <c r="E1" s="56" t="s">
        <v>4</v>
      </c>
      <c r="F1" s="56" t="s">
        <v>5</v>
      </c>
      <c r="G1" s="56" t="s">
        <v>6</v>
      </c>
      <c r="H1" s="56" t="s">
        <v>7</v>
      </c>
      <c r="I1" s="4" t="s">
        <v>9</v>
      </c>
      <c r="J1" s="61" t="s">
        <v>120</v>
      </c>
    </row>
    <row r="2" spans="1:10">
      <c r="A2" s="60" t="s">
        <v>121</v>
      </c>
      <c r="B2" s="60">
        <v>245.4</v>
      </c>
      <c r="C2" s="60">
        <v>47.1</v>
      </c>
      <c r="D2" s="60">
        <v>36.299999999999997</v>
      </c>
      <c r="E2" s="60">
        <v>10.1</v>
      </c>
      <c r="F2" s="60">
        <v>7</v>
      </c>
      <c r="G2" s="60">
        <v>-9.8000000000000007</v>
      </c>
      <c r="H2" s="60">
        <v>182.8</v>
      </c>
      <c r="I2" s="60" t="s">
        <v>122</v>
      </c>
      <c r="J2" s="60"/>
    </row>
    <row r="3" spans="1:10">
      <c r="A3" s="60" t="s">
        <v>123</v>
      </c>
      <c r="B3" s="60">
        <v>43.9</v>
      </c>
      <c r="C3" s="60">
        <v>-42.6</v>
      </c>
      <c r="D3" s="60">
        <v>20.2</v>
      </c>
      <c r="E3" s="60">
        <v>13.7</v>
      </c>
      <c r="F3" s="60">
        <v>7</v>
      </c>
      <c r="G3" s="60">
        <v>2.5</v>
      </c>
      <c r="H3" s="60">
        <v>198.1</v>
      </c>
      <c r="I3" s="60" t="s">
        <v>122</v>
      </c>
      <c r="J3" s="60"/>
    </row>
    <row r="4" spans="1:10">
      <c r="A4" s="60" t="s">
        <v>124</v>
      </c>
      <c r="B4" s="60">
        <v>55.4</v>
      </c>
      <c r="C4" s="60">
        <v>-35.5</v>
      </c>
      <c r="D4" s="60">
        <v>27.8</v>
      </c>
      <c r="E4" s="60">
        <v>12.9</v>
      </c>
      <c r="F4" s="60">
        <v>6</v>
      </c>
      <c r="G4" s="60">
        <v>2.2999999999999998</v>
      </c>
      <c r="H4" s="60">
        <v>186.3</v>
      </c>
      <c r="I4" s="60" t="s">
        <v>122</v>
      </c>
      <c r="J4" s="60"/>
    </row>
    <row r="5" spans="1:10">
      <c r="A5" s="60" t="s">
        <v>125</v>
      </c>
      <c r="B5" s="60">
        <v>48.1</v>
      </c>
      <c r="C5" s="60">
        <v>-39.4</v>
      </c>
      <c r="D5" s="60">
        <v>35.700000000000003</v>
      </c>
      <c r="E5" s="60">
        <v>11.4</v>
      </c>
      <c r="F5" s="60">
        <v>6</v>
      </c>
      <c r="G5" s="60">
        <v>3</v>
      </c>
      <c r="H5" s="60">
        <v>193.6</v>
      </c>
      <c r="I5" s="60" t="s">
        <v>122</v>
      </c>
      <c r="J5" s="60"/>
    </row>
    <row r="6" spans="1:10">
      <c r="A6" s="60" t="s">
        <v>126</v>
      </c>
      <c r="B6" s="60">
        <v>252.9</v>
      </c>
      <c r="C6" s="60">
        <v>45.6</v>
      </c>
      <c r="D6" s="60">
        <v>36.299999999999997</v>
      </c>
      <c r="E6" s="60">
        <v>10.1</v>
      </c>
      <c r="F6" s="60">
        <v>7</v>
      </c>
      <c r="G6" s="60">
        <v>-12.5</v>
      </c>
      <c r="H6" s="60">
        <v>176.5</v>
      </c>
      <c r="I6" s="60" t="s">
        <v>122</v>
      </c>
      <c r="J6" s="60"/>
    </row>
    <row r="7" spans="1:10">
      <c r="A7" s="60" t="s">
        <v>108</v>
      </c>
      <c r="B7" s="60">
        <v>230.2</v>
      </c>
      <c r="C7" s="60">
        <v>26.7</v>
      </c>
      <c r="D7" s="60">
        <v>24.1</v>
      </c>
      <c r="E7" s="60">
        <v>10</v>
      </c>
      <c r="F7" s="60">
        <v>10</v>
      </c>
      <c r="G7" s="60">
        <v>9.9</v>
      </c>
      <c r="H7" s="60">
        <v>187.6</v>
      </c>
      <c r="I7" s="60" t="s">
        <v>122</v>
      </c>
      <c r="J7" s="60"/>
    </row>
    <row r="8" spans="1:10">
      <c r="A8" s="60" t="s">
        <v>107</v>
      </c>
      <c r="B8" s="60">
        <v>51.3</v>
      </c>
      <c r="C8" s="60">
        <v>-26.8</v>
      </c>
      <c r="D8" s="60">
        <v>22.5</v>
      </c>
      <c r="E8" s="60">
        <v>14.4</v>
      </c>
      <c r="F8" s="60">
        <v>6</v>
      </c>
      <c r="G8" s="60">
        <v>9.4</v>
      </c>
      <c r="H8" s="60">
        <v>186.6</v>
      </c>
      <c r="I8" s="60" t="s">
        <v>122</v>
      </c>
      <c r="J8" s="60"/>
    </row>
    <row r="9" spans="1:10">
      <c r="A9" s="60" t="s">
        <v>109</v>
      </c>
      <c r="B9" s="60">
        <v>220.8</v>
      </c>
      <c r="C9" s="60">
        <v>29.8</v>
      </c>
      <c r="D9" s="60">
        <v>16.399999999999999</v>
      </c>
      <c r="E9" s="60">
        <v>12.3</v>
      </c>
      <c r="F9" s="60">
        <v>10</v>
      </c>
      <c r="G9" s="60">
        <v>12.1</v>
      </c>
      <c r="H9" s="60">
        <v>196.7</v>
      </c>
      <c r="I9" s="60" t="s">
        <v>122</v>
      </c>
      <c r="J9" s="60"/>
    </row>
    <row r="10" spans="1:10">
      <c r="A10" s="60" t="s">
        <v>110</v>
      </c>
      <c r="B10" s="60">
        <v>251.9</v>
      </c>
      <c r="C10" s="60">
        <v>39.799999999999997</v>
      </c>
      <c r="D10" s="60">
        <v>67.3</v>
      </c>
      <c r="E10" s="60">
        <v>11.3</v>
      </c>
      <c r="F10" s="60">
        <v>4</v>
      </c>
      <c r="G10" s="60">
        <v>-8</v>
      </c>
      <c r="H10" s="60">
        <v>174.3</v>
      </c>
      <c r="I10" s="60" t="s">
        <v>122</v>
      </c>
      <c r="J10" s="60"/>
    </row>
    <row r="11" spans="1:10">
      <c r="A11" s="60" t="s">
        <v>111</v>
      </c>
      <c r="B11" s="60">
        <v>238.6</v>
      </c>
      <c r="C11" s="60">
        <v>24.5</v>
      </c>
      <c r="D11" s="60">
        <v>34.200000000000003</v>
      </c>
      <c r="E11" s="60">
        <v>11.6</v>
      </c>
      <c r="F11" s="60">
        <v>6</v>
      </c>
      <c r="G11" s="60">
        <v>7</v>
      </c>
      <c r="H11" s="60">
        <v>179.7</v>
      </c>
      <c r="I11" s="60" t="s">
        <v>122</v>
      </c>
      <c r="J11" s="60"/>
    </row>
    <row r="12" spans="1:10">
      <c r="A12" s="60" t="s">
        <v>127</v>
      </c>
      <c r="B12" s="60">
        <v>259.10000000000002</v>
      </c>
      <c r="C12" s="60">
        <v>49.9</v>
      </c>
      <c r="D12" s="60">
        <v>23.5</v>
      </c>
      <c r="E12" s="60">
        <v>14.1</v>
      </c>
      <c r="F12" s="60">
        <v>6</v>
      </c>
      <c r="G12" s="60">
        <v>-18.3</v>
      </c>
      <c r="H12" s="60">
        <v>173.9</v>
      </c>
      <c r="I12" s="60" t="s">
        <v>122</v>
      </c>
      <c r="J12" s="60"/>
    </row>
    <row r="13" spans="1:10">
      <c r="A13" s="60" t="s">
        <v>128</v>
      </c>
      <c r="B13" s="60">
        <v>42.8</v>
      </c>
      <c r="C13" s="60">
        <v>-37.299999999999997</v>
      </c>
      <c r="D13" s="60">
        <v>50.8</v>
      </c>
      <c r="E13" s="60">
        <v>9.5</v>
      </c>
      <c r="F13" s="60">
        <v>6</v>
      </c>
      <c r="G13" s="60">
        <v>6.9</v>
      </c>
      <c r="H13" s="60">
        <v>196.9</v>
      </c>
      <c r="I13" s="60" t="s">
        <v>122</v>
      </c>
      <c r="J13" s="60"/>
    </row>
    <row r="14" spans="1:10">
      <c r="A14" s="60" t="s">
        <v>113</v>
      </c>
      <c r="B14" s="60">
        <v>57</v>
      </c>
      <c r="C14" s="60">
        <v>-43.4</v>
      </c>
      <c r="D14" s="60">
        <v>58.5</v>
      </c>
      <c r="E14" s="60">
        <v>6</v>
      </c>
      <c r="F14" s="60">
        <v>11</v>
      </c>
      <c r="G14" s="60">
        <v>-3</v>
      </c>
      <c r="H14" s="60">
        <v>187.3</v>
      </c>
      <c r="I14" s="60" t="s">
        <v>122</v>
      </c>
      <c r="J14" s="60"/>
    </row>
    <row r="15" spans="1:10">
      <c r="A15" s="60" t="s">
        <v>114</v>
      </c>
      <c r="B15" s="60">
        <v>228.3</v>
      </c>
      <c r="C15" s="60">
        <v>28.5</v>
      </c>
      <c r="D15" s="60">
        <v>209.4</v>
      </c>
      <c r="E15" s="60">
        <v>4.2</v>
      </c>
      <c r="F15" s="60">
        <v>7</v>
      </c>
      <c r="G15" s="60">
        <v>9.8000000000000007</v>
      </c>
      <c r="H15" s="60">
        <v>189.7</v>
      </c>
      <c r="I15" s="60" t="s">
        <v>122</v>
      </c>
      <c r="J15" s="60"/>
    </row>
    <row r="16" spans="1:10">
      <c r="A16" s="60" t="s">
        <v>129</v>
      </c>
      <c r="B16" s="60">
        <v>226</v>
      </c>
      <c r="C16" s="60">
        <v>38.799999999999997</v>
      </c>
      <c r="D16" s="60">
        <v>44.8</v>
      </c>
      <c r="E16" s="60">
        <v>9.1</v>
      </c>
      <c r="F16" s="60">
        <v>7</v>
      </c>
      <c r="G16" s="60">
        <v>4.7</v>
      </c>
      <c r="H16" s="60">
        <v>194.7</v>
      </c>
      <c r="I16" s="60" t="s">
        <v>122</v>
      </c>
      <c r="J16" s="60"/>
    </row>
    <row r="17" spans="1:10">
      <c r="A17" s="60" t="s">
        <v>116</v>
      </c>
      <c r="B17" s="60">
        <v>55.9</v>
      </c>
      <c r="C17" s="60">
        <v>-13.9</v>
      </c>
      <c r="D17" s="60">
        <v>68</v>
      </c>
      <c r="E17" s="60">
        <v>8.1999999999999993</v>
      </c>
      <c r="F17" s="60">
        <v>6</v>
      </c>
      <c r="G17" s="60">
        <v>13.4</v>
      </c>
      <c r="H17" s="60">
        <v>179.1</v>
      </c>
      <c r="I17" s="60" t="s">
        <v>122</v>
      </c>
      <c r="J17" s="60"/>
    </row>
    <row r="18" spans="1:10">
      <c r="A18" s="60" t="s">
        <v>117</v>
      </c>
      <c r="B18" s="60">
        <v>61.6</v>
      </c>
      <c r="C18" s="60">
        <v>-26.7</v>
      </c>
      <c r="D18" s="60">
        <v>51.8</v>
      </c>
      <c r="E18" s="60">
        <v>10.7</v>
      </c>
      <c r="F18" s="60">
        <v>5</v>
      </c>
      <c r="G18" s="60">
        <v>4.4000000000000004</v>
      </c>
      <c r="H18" s="60">
        <v>177.9</v>
      </c>
      <c r="I18" s="60" t="s">
        <v>122</v>
      </c>
      <c r="J18" s="60"/>
    </row>
    <row r="21" spans="1:10">
      <c r="G21" s="60"/>
      <c r="H21" s="4"/>
      <c r="I21" s="60"/>
    </row>
    <row r="22" spans="1:10">
      <c r="G22" s="60"/>
      <c r="H22" s="4"/>
      <c r="I22" s="60"/>
    </row>
    <row r="23" spans="1:10">
      <c r="G23" s="60"/>
      <c r="H23" s="4"/>
      <c r="I23" s="60"/>
    </row>
    <row r="24" spans="1:10">
      <c r="G24" s="60"/>
      <c r="H24" s="4"/>
      <c r="I24" s="60"/>
    </row>
    <row r="25" spans="1:10">
      <c r="G25" s="60"/>
      <c r="H25" s="4"/>
      <c r="I25" s="60"/>
    </row>
    <row r="26" spans="1:10">
      <c r="G26" s="60"/>
      <c r="H26" s="4"/>
      <c r="I26" s="60"/>
    </row>
    <row r="27" spans="1:10">
      <c r="G27" s="60"/>
      <c r="H27" s="4"/>
      <c r="I27" s="60"/>
    </row>
    <row r="28" spans="1:10">
      <c r="G28" s="60"/>
      <c r="H28" s="4"/>
      <c r="I28" s="60"/>
    </row>
    <row r="29" spans="1:10">
      <c r="G29" s="60"/>
      <c r="H29" s="4"/>
      <c r="I29" s="60"/>
    </row>
    <row r="30" spans="1:10">
      <c r="G30" s="60"/>
      <c r="H30" s="4"/>
      <c r="I30" s="60"/>
    </row>
    <row r="31" spans="1:10">
      <c r="G31" s="60"/>
      <c r="H31" s="4"/>
      <c r="I31" s="60"/>
    </row>
    <row r="32" spans="1:10">
      <c r="G32" s="60"/>
      <c r="H32" s="4"/>
      <c r="I32" s="60"/>
    </row>
    <row r="33" spans="7:9">
      <c r="G33" s="60"/>
      <c r="H33" s="4"/>
      <c r="I33" s="60"/>
    </row>
    <row r="34" spans="7:9">
      <c r="G34" s="60"/>
      <c r="H34" s="4"/>
      <c r="I34" s="60"/>
    </row>
    <row r="35" spans="7:9">
      <c r="G35" s="60"/>
      <c r="H35" s="4"/>
      <c r="I35" s="60"/>
    </row>
    <row r="36" spans="7:9">
      <c r="G36" s="60"/>
      <c r="H36" s="4"/>
      <c r="I36" s="60"/>
    </row>
    <row r="37" spans="7:9">
      <c r="G37" s="60"/>
      <c r="H37" s="4"/>
      <c r="I37" s="60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571882-AA2B-4A15-804C-0E7D49E4D3F3}">
  <dimension ref="A1:J11"/>
  <sheetViews>
    <sheetView workbookViewId="0">
      <selection sqref="A1:A1048576"/>
    </sheetView>
  </sheetViews>
  <sheetFormatPr defaultColWidth="8.81640625" defaultRowHeight="12.5"/>
  <cols>
    <col min="1" max="1" width="12.81640625" style="55" customWidth="1"/>
    <col min="2" max="8" width="8.81640625" style="55"/>
    <col min="9" max="9" width="20.90625" style="55" bestFit="1" customWidth="1"/>
    <col min="10" max="10" width="15.81640625" style="55" customWidth="1"/>
    <col min="11" max="16384" width="8.81640625" style="55"/>
  </cols>
  <sheetData>
    <row r="1" spans="1:10">
      <c r="A1" s="65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55" t="s">
        <v>9</v>
      </c>
      <c r="J1" s="55" t="s">
        <v>8</v>
      </c>
    </row>
    <row r="2" spans="1:10">
      <c r="A2" s="55">
        <v>1</v>
      </c>
      <c r="B2" s="55">
        <v>67</v>
      </c>
      <c r="C2" s="55">
        <v>76</v>
      </c>
      <c r="D2" s="55">
        <v>15</v>
      </c>
      <c r="E2" s="55">
        <v>14.8</v>
      </c>
      <c r="F2" s="55">
        <v>8</v>
      </c>
      <c r="G2" s="66">
        <v>58.762675394845942</v>
      </c>
      <c r="H2" s="66">
        <v>58.183255556672982</v>
      </c>
      <c r="I2" s="55" t="s">
        <v>141</v>
      </c>
    </row>
    <row r="3" spans="1:10">
      <c r="A3" s="55">
        <v>2</v>
      </c>
      <c r="B3" s="55">
        <v>126</v>
      </c>
      <c r="C3" s="55">
        <v>89</v>
      </c>
      <c r="D3" s="55">
        <v>11</v>
      </c>
      <c r="E3" s="55">
        <v>18</v>
      </c>
      <c r="F3" s="55">
        <v>8</v>
      </c>
      <c r="G3" s="66">
        <v>57.488626072625685</v>
      </c>
      <c r="H3" s="66">
        <v>8.8303380551462674</v>
      </c>
      <c r="I3" s="55" t="s">
        <v>141</v>
      </c>
    </row>
    <row r="4" spans="1:10">
      <c r="A4" s="55">
        <v>5</v>
      </c>
      <c r="B4" s="55">
        <v>113</v>
      </c>
      <c r="C4" s="55">
        <v>59</v>
      </c>
      <c r="D4" s="55">
        <v>39</v>
      </c>
      <c r="E4" s="55">
        <v>8.4</v>
      </c>
      <c r="F4" s="55">
        <v>9</v>
      </c>
      <c r="G4" s="66">
        <v>22.556882041801316</v>
      </c>
      <c r="H4" s="66">
        <v>56.432085239714631</v>
      </c>
      <c r="I4" s="55" t="s">
        <v>141</v>
      </c>
    </row>
    <row r="5" spans="1:10">
      <c r="A5" s="55">
        <v>10</v>
      </c>
      <c r="B5" s="55">
        <v>144</v>
      </c>
      <c r="C5" s="55">
        <v>78</v>
      </c>
      <c r="D5" s="55">
        <v>132</v>
      </c>
      <c r="E5" s="55">
        <v>6.2</v>
      </c>
      <c r="F5" s="55">
        <v>7</v>
      </c>
      <c r="G5" s="66">
        <v>38.962902602811397</v>
      </c>
      <c r="H5" s="66">
        <v>22.832296334759114</v>
      </c>
      <c r="I5" s="55" t="s">
        <v>141</v>
      </c>
    </row>
    <row r="6" spans="1:10">
      <c r="A6" s="55">
        <v>12</v>
      </c>
      <c r="B6" s="55">
        <v>119</v>
      </c>
      <c r="C6" s="55">
        <v>67</v>
      </c>
      <c r="D6" s="55">
        <v>13</v>
      </c>
      <c r="E6" s="55">
        <v>9.8000000000000007</v>
      </c>
      <c r="F6" s="55">
        <v>7</v>
      </c>
      <c r="G6" s="66">
        <v>29.53816694536831</v>
      </c>
      <c r="H6" s="66">
        <v>46.366811803846637</v>
      </c>
      <c r="I6" s="55" t="s">
        <v>141</v>
      </c>
    </row>
    <row r="7" spans="1:10">
      <c r="A7" s="55">
        <v>13</v>
      </c>
      <c r="B7" s="55">
        <v>122</v>
      </c>
      <c r="C7" s="55">
        <v>59</v>
      </c>
      <c r="D7" s="55">
        <v>77</v>
      </c>
      <c r="E7" s="55">
        <v>6.9</v>
      </c>
      <c r="F7" s="55">
        <v>7</v>
      </c>
      <c r="G7" s="66">
        <v>19.510536324385995</v>
      </c>
      <c r="H7" s="66">
        <v>49.795440451246058</v>
      </c>
      <c r="I7" s="55" t="s">
        <v>141</v>
      </c>
    </row>
    <row r="8" spans="1:10">
      <c r="A8" s="55">
        <v>14</v>
      </c>
      <c r="B8" s="55">
        <v>87</v>
      </c>
      <c r="C8" s="55">
        <v>83</v>
      </c>
      <c r="D8" s="55">
        <v>28</v>
      </c>
      <c r="E8" s="55">
        <v>11.7</v>
      </c>
      <c r="F8" s="55">
        <v>7</v>
      </c>
      <c r="G8" s="66">
        <v>55.819944471357601</v>
      </c>
      <c r="H8" s="66">
        <v>33.022371942598106</v>
      </c>
      <c r="I8" s="55" t="s">
        <v>141</v>
      </c>
    </row>
    <row r="9" spans="1:10">
      <c r="A9" s="55">
        <v>15</v>
      </c>
      <c r="B9" s="55">
        <v>133</v>
      </c>
      <c r="C9" s="55">
        <v>54</v>
      </c>
      <c r="D9" s="55">
        <v>11</v>
      </c>
      <c r="E9" s="55">
        <v>20.6</v>
      </c>
      <c r="F9" s="55">
        <v>6</v>
      </c>
      <c r="G9" s="66">
        <v>12.046872361607257</v>
      </c>
      <c r="H9" s="66">
        <v>43.667426339871703</v>
      </c>
      <c r="I9" s="55" t="s">
        <v>141</v>
      </c>
    </row>
    <row r="10" spans="1:10">
      <c r="A10" s="55">
        <v>16</v>
      </c>
      <c r="B10" s="55">
        <v>128</v>
      </c>
      <c r="C10" s="55">
        <v>50</v>
      </c>
      <c r="D10" s="55">
        <v>53</v>
      </c>
      <c r="E10" s="55">
        <v>7.1</v>
      </c>
      <c r="F10" s="55">
        <v>9</v>
      </c>
      <c r="G10" s="66">
        <v>10.927246181286293</v>
      </c>
      <c r="H10" s="66">
        <v>50.415988516287015</v>
      </c>
      <c r="I10" s="55" t="s">
        <v>141</v>
      </c>
    </row>
    <row r="11" spans="1:10" s="43" customFormat="1">
      <c r="A11" s="55" t="s">
        <v>142</v>
      </c>
      <c r="B11" s="43">
        <v>113</v>
      </c>
      <c r="C11" s="43">
        <v>70</v>
      </c>
      <c r="D11" s="43">
        <v>60</v>
      </c>
      <c r="E11" s="43">
        <v>8.6999999999999993</v>
      </c>
      <c r="F11" s="43">
        <v>6</v>
      </c>
      <c r="G11" s="67">
        <v>34.9</v>
      </c>
      <c r="H11" s="67">
        <v>47.2</v>
      </c>
      <c r="I11" s="43" t="s">
        <v>143</v>
      </c>
    </row>
  </sheetData>
  <phoneticPr fontId="6" type="noConversion"/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712EE6-C3AC-46A1-980C-C0939A3782ED}">
  <dimension ref="A1:J3"/>
  <sheetViews>
    <sheetView workbookViewId="0">
      <selection sqref="A1:A1048576"/>
    </sheetView>
  </sheetViews>
  <sheetFormatPr defaultColWidth="8.81640625" defaultRowHeight="12.5"/>
  <cols>
    <col min="1" max="8" width="8.81640625" style="4"/>
    <col min="9" max="9" width="17.453125" style="4" bestFit="1" customWidth="1"/>
    <col min="10" max="10" width="15.81640625" style="4" customWidth="1"/>
    <col min="11" max="16384" width="8.81640625" style="4"/>
  </cols>
  <sheetData>
    <row r="1" spans="1:10">
      <c r="A1" s="62" t="s">
        <v>0</v>
      </c>
      <c r="B1" s="56" t="s">
        <v>1</v>
      </c>
      <c r="C1" s="56" t="s">
        <v>2</v>
      </c>
      <c r="D1" s="56" t="s">
        <v>3</v>
      </c>
      <c r="E1" s="56" t="s">
        <v>4</v>
      </c>
      <c r="F1" s="56" t="s">
        <v>5</v>
      </c>
      <c r="G1" s="56" t="s">
        <v>6</v>
      </c>
      <c r="H1" s="56" t="s">
        <v>7</v>
      </c>
      <c r="I1" s="4" t="s">
        <v>9</v>
      </c>
      <c r="J1" s="4" t="s">
        <v>8</v>
      </c>
    </row>
    <row r="2" spans="1:10">
      <c r="A2" s="4" t="s">
        <v>133</v>
      </c>
      <c r="B2" s="4">
        <v>312.7</v>
      </c>
      <c r="C2" s="4">
        <v>39.700000000000003</v>
      </c>
      <c r="D2" s="4">
        <v>11.6</v>
      </c>
      <c r="E2" s="4">
        <v>8.5</v>
      </c>
      <c r="F2" s="4">
        <v>27</v>
      </c>
      <c r="G2" s="4">
        <v>51.7</v>
      </c>
      <c r="H2" s="4">
        <v>316.39999999999998</v>
      </c>
      <c r="I2" s="4" t="s">
        <v>131</v>
      </c>
    </row>
    <row r="3" spans="1:10">
      <c r="A3" s="4" t="s">
        <v>134</v>
      </c>
      <c r="B3" s="4">
        <v>140.80000000000001</v>
      </c>
      <c r="C3" s="4">
        <v>-31.9</v>
      </c>
      <c r="D3" s="4">
        <v>17.899999999999999</v>
      </c>
      <c r="E3" s="4">
        <v>7.7</v>
      </c>
      <c r="F3" s="4">
        <v>21</v>
      </c>
      <c r="G3" s="4">
        <v>48.7</v>
      </c>
      <c r="H3" s="4">
        <v>129.19999999999999</v>
      </c>
      <c r="I3" s="4" t="s">
        <v>131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46986C-F734-4066-9E0A-9DD245F876AD}">
  <dimension ref="A1:J3"/>
  <sheetViews>
    <sheetView workbookViewId="0">
      <selection activeCell="F3" sqref="F3"/>
    </sheetView>
  </sheetViews>
  <sheetFormatPr defaultColWidth="8.81640625" defaultRowHeight="12.5"/>
  <cols>
    <col min="1" max="8" width="8.81640625" style="4"/>
    <col min="9" max="9" width="17.453125" style="4" bestFit="1" customWidth="1"/>
    <col min="10" max="10" width="15.81640625" style="4" customWidth="1"/>
    <col min="11" max="16384" width="8.81640625" style="4"/>
  </cols>
  <sheetData>
    <row r="1" spans="1:10">
      <c r="A1" s="62" t="s">
        <v>0</v>
      </c>
      <c r="B1" s="56" t="s">
        <v>1</v>
      </c>
      <c r="C1" s="56" t="s">
        <v>2</v>
      </c>
      <c r="D1" s="56" t="s">
        <v>3</v>
      </c>
      <c r="E1" s="56" t="s">
        <v>4</v>
      </c>
      <c r="F1" s="56" t="s">
        <v>5</v>
      </c>
      <c r="G1" s="56" t="s">
        <v>6</v>
      </c>
      <c r="H1" s="56" t="s">
        <v>7</v>
      </c>
      <c r="I1" s="4" t="s">
        <v>9</v>
      </c>
      <c r="J1" s="4" t="s">
        <v>8</v>
      </c>
    </row>
    <row r="2" spans="1:10">
      <c r="A2" s="4" t="s">
        <v>130</v>
      </c>
      <c r="B2" s="4">
        <v>312.60000000000002</v>
      </c>
      <c r="C2" s="4">
        <v>54.2</v>
      </c>
      <c r="D2" s="4">
        <v>20.7</v>
      </c>
      <c r="E2" s="4">
        <v>6.3</v>
      </c>
      <c r="F2" s="4">
        <v>27</v>
      </c>
      <c r="G2" s="4">
        <v>52</v>
      </c>
      <c r="H2" s="4">
        <v>317.8</v>
      </c>
      <c r="I2" s="4" t="s">
        <v>131</v>
      </c>
    </row>
    <row r="3" spans="1:10">
      <c r="A3" s="4" t="s">
        <v>132</v>
      </c>
      <c r="B3" s="4">
        <v>133</v>
      </c>
      <c r="C3" s="4">
        <v>-48.8</v>
      </c>
      <c r="D3" s="4">
        <v>22.9</v>
      </c>
      <c r="E3" s="4">
        <v>14.3</v>
      </c>
      <c r="F3" s="4">
        <v>17</v>
      </c>
      <c r="G3" s="4">
        <v>49</v>
      </c>
      <c r="H3" s="4">
        <v>310.3</v>
      </c>
      <c r="I3" s="4" t="s">
        <v>131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2E34CF-4D54-4F53-B79E-3733C7814FFD}">
  <dimension ref="A1:J7"/>
  <sheetViews>
    <sheetView workbookViewId="0">
      <selection sqref="A1:A1048576"/>
    </sheetView>
  </sheetViews>
  <sheetFormatPr defaultRowHeight="12.5"/>
  <cols>
    <col min="1" max="8" width="12.1796875" customWidth="1"/>
    <col min="9" max="9" width="20.90625" bestFit="1" customWidth="1"/>
    <col min="10" max="10" width="15.81640625" customWidth="1"/>
  </cols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9</v>
      </c>
      <c r="J1" t="s">
        <v>8</v>
      </c>
    </row>
    <row r="2" spans="1:10">
      <c r="A2">
        <v>1</v>
      </c>
      <c r="B2">
        <v>281</v>
      </c>
      <c r="C2">
        <v>-78</v>
      </c>
      <c r="D2">
        <v>91</v>
      </c>
      <c r="E2">
        <v>6</v>
      </c>
      <c r="F2">
        <v>10</v>
      </c>
      <c r="G2" s="12">
        <v>-48.543430729837553</v>
      </c>
      <c r="H2" s="12">
        <v>222.45591841310363</v>
      </c>
      <c r="I2" t="s">
        <v>141</v>
      </c>
    </row>
    <row r="3" spans="1:10">
      <c r="A3">
        <v>2</v>
      </c>
      <c r="B3">
        <v>308</v>
      </c>
      <c r="C3">
        <v>-71</v>
      </c>
      <c r="D3">
        <v>252</v>
      </c>
      <c r="E3">
        <v>4</v>
      </c>
      <c r="F3">
        <v>13</v>
      </c>
      <c r="G3" s="12">
        <v>-31.658306132654147</v>
      </c>
      <c r="H3" s="12">
        <v>218.67325076248184</v>
      </c>
      <c r="I3" t="s">
        <v>141</v>
      </c>
    </row>
    <row r="4" spans="1:10">
      <c r="A4">
        <v>3</v>
      </c>
      <c r="B4">
        <v>313</v>
      </c>
      <c r="C4">
        <v>-70</v>
      </c>
      <c r="D4">
        <v>327</v>
      </c>
      <c r="E4">
        <v>4</v>
      </c>
      <c r="F4">
        <v>8</v>
      </c>
      <c r="G4" s="12">
        <v>-29.009305003200453</v>
      </c>
      <c r="H4" s="12">
        <v>216.4830775771058</v>
      </c>
      <c r="I4" t="s">
        <v>141</v>
      </c>
    </row>
    <row r="5" spans="1:10">
      <c r="A5">
        <v>4</v>
      </c>
      <c r="B5">
        <v>249</v>
      </c>
      <c r="C5">
        <v>-75</v>
      </c>
      <c r="D5">
        <v>74</v>
      </c>
      <c r="E5">
        <v>9</v>
      </c>
      <c r="F5">
        <v>13</v>
      </c>
      <c r="G5" s="12">
        <v>-57.368940129087349</v>
      </c>
      <c r="H5" s="12">
        <v>241.86409821476795</v>
      </c>
      <c r="I5" t="s">
        <v>141</v>
      </c>
    </row>
    <row r="6" spans="1:10">
      <c r="A6">
        <v>5</v>
      </c>
      <c r="B6">
        <v>315</v>
      </c>
      <c r="C6">
        <v>-77</v>
      </c>
      <c r="D6">
        <v>178</v>
      </c>
      <c r="E6">
        <v>3</v>
      </c>
      <c r="F6">
        <v>15</v>
      </c>
      <c r="G6" s="12">
        <v>-38.629691004426576</v>
      </c>
      <c r="H6" s="12">
        <v>209.29949127220985</v>
      </c>
      <c r="I6" t="s">
        <v>141</v>
      </c>
    </row>
    <row r="7" spans="1:10">
      <c r="A7">
        <v>6</v>
      </c>
      <c r="B7">
        <v>286</v>
      </c>
      <c r="C7">
        <v>-71</v>
      </c>
      <c r="D7">
        <v>174</v>
      </c>
      <c r="E7">
        <v>4</v>
      </c>
      <c r="F7">
        <v>10</v>
      </c>
      <c r="G7" s="12">
        <v>-38.643108661029146</v>
      </c>
      <c r="H7" s="12">
        <v>231.26981998220279</v>
      </c>
      <c r="I7" t="s">
        <v>141</v>
      </c>
    </row>
  </sheetData>
  <phoneticPr fontId="6" type="noConversion"/>
  <pageMargins left="0.7" right="0.7" top="0.75" bottom="0.75" header="0.3" footer="0.3"/>
  <pageSetup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4A371F-77F9-48E1-8E15-0CA5D4ADE686}">
  <dimension ref="A1:J4"/>
  <sheetViews>
    <sheetView workbookViewId="0">
      <selection sqref="A1:A1048576"/>
    </sheetView>
  </sheetViews>
  <sheetFormatPr defaultColWidth="8.81640625" defaultRowHeight="12.5"/>
  <cols>
    <col min="1" max="8" width="8.81640625" style="4"/>
    <col min="9" max="9" width="16.453125" style="4" bestFit="1" customWidth="1"/>
    <col min="10" max="10" width="15.81640625" style="4" customWidth="1"/>
    <col min="11" max="16384" width="8.81640625" style="4"/>
  </cols>
  <sheetData>
    <row r="1" spans="1:10">
      <c r="A1" s="62" t="s">
        <v>0</v>
      </c>
      <c r="B1" s="56" t="s">
        <v>1</v>
      </c>
      <c r="C1" s="56" t="s">
        <v>2</v>
      </c>
      <c r="D1" s="56" t="s">
        <v>3</v>
      </c>
      <c r="E1" s="56" t="s">
        <v>4</v>
      </c>
      <c r="F1" s="56" t="s">
        <v>5</v>
      </c>
      <c r="G1" s="56" t="s">
        <v>6</v>
      </c>
      <c r="H1" s="56" t="s">
        <v>7</v>
      </c>
      <c r="I1" s="4" t="s">
        <v>9</v>
      </c>
      <c r="J1" s="4" t="s">
        <v>8</v>
      </c>
    </row>
    <row r="2" spans="1:10">
      <c r="A2" s="4" t="s">
        <v>144</v>
      </c>
      <c r="B2" s="4">
        <v>52.9</v>
      </c>
      <c r="C2" s="4">
        <v>33.700000000000003</v>
      </c>
      <c r="D2" s="4">
        <v>36.5</v>
      </c>
      <c r="E2" s="4">
        <v>1.7</v>
      </c>
      <c r="F2" s="4">
        <v>202</v>
      </c>
      <c r="G2" s="4">
        <v>35.9</v>
      </c>
      <c r="H2" s="4">
        <v>168.4</v>
      </c>
      <c r="I2" s="4" t="s">
        <v>145</v>
      </c>
    </row>
    <row r="3" spans="1:10">
      <c r="A3" s="4" t="s">
        <v>146</v>
      </c>
      <c r="B3" s="4">
        <v>59.2</v>
      </c>
      <c r="C3" s="4">
        <v>33.299999999999997</v>
      </c>
      <c r="D3" s="4">
        <v>29.7</v>
      </c>
      <c r="E3" s="4">
        <v>5.6</v>
      </c>
      <c r="F3" s="4">
        <v>23</v>
      </c>
      <c r="G3" s="4">
        <v>31.6</v>
      </c>
      <c r="H3" s="4">
        <v>161.6</v>
      </c>
      <c r="I3" s="4" t="s">
        <v>145</v>
      </c>
    </row>
    <row r="4" spans="1:10">
      <c r="A4" s="4" t="s">
        <v>147</v>
      </c>
      <c r="B4" s="4">
        <v>43.6</v>
      </c>
      <c r="C4" s="4">
        <v>28.2</v>
      </c>
      <c r="D4" s="4">
        <v>36.700000000000003</v>
      </c>
      <c r="E4" s="4">
        <v>5.8</v>
      </c>
      <c r="F4" s="4">
        <v>18</v>
      </c>
      <c r="G4" s="4">
        <v>38.200000000000003</v>
      </c>
      <c r="H4" s="4">
        <v>179.2</v>
      </c>
      <c r="I4" s="4" t="s">
        <v>145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C1DC4E-927C-490D-8CE0-2BF703F90AF8}">
  <dimension ref="A1:J10"/>
  <sheetViews>
    <sheetView workbookViewId="0">
      <selection sqref="A1:A1048576"/>
    </sheetView>
  </sheetViews>
  <sheetFormatPr defaultColWidth="8.81640625" defaultRowHeight="12.5"/>
  <cols>
    <col min="1" max="8" width="8.81640625" style="4"/>
    <col min="9" max="9" width="17.54296875" style="4" bestFit="1" customWidth="1"/>
    <col min="10" max="10" width="15.81640625" style="4" customWidth="1"/>
    <col min="11" max="16384" width="8.81640625" style="4"/>
  </cols>
  <sheetData>
    <row r="1" spans="1:10">
      <c r="A1" s="62" t="s">
        <v>0</v>
      </c>
      <c r="B1" s="56" t="s">
        <v>1</v>
      </c>
      <c r="C1" s="56" t="s">
        <v>2</v>
      </c>
      <c r="D1" s="56" t="s">
        <v>3</v>
      </c>
      <c r="E1" s="56" t="s">
        <v>4</v>
      </c>
      <c r="F1" s="56" t="s">
        <v>5</v>
      </c>
      <c r="G1" s="56" t="s">
        <v>6</v>
      </c>
      <c r="H1" s="56" t="s">
        <v>7</v>
      </c>
      <c r="I1" s="4" t="s">
        <v>9</v>
      </c>
      <c r="J1" s="4" t="s">
        <v>8</v>
      </c>
    </row>
    <row r="2" spans="1:10">
      <c r="A2" s="4" t="s">
        <v>148</v>
      </c>
      <c r="B2" s="4">
        <v>340.4</v>
      </c>
      <c r="C2" s="4">
        <v>-73.599999999999994</v>
      </c>
      <c r="D2" s="4">
        <v>638.70000000000005</v>
      </c>
      <c r="E2" s="4">
        <v>4.9000000000000004</v>
      </c>
      <c r="F2" s="4">
        <v>3</v>
      </c>
      <c r="G2" s="21">
        <v>-29.1</v>
      </c>
      <c r="H2" s="21">
        <v>199</v>
      </c>
      <c r="I2" s="4" t="s">
        <v>149</v>
      </c>
    </row>
    <row r="3" spans="1:10">
      <c r="A3" s="4" t="s">
        <v>150</v>
      </c>
      <c r="B3" s="4">
        <v>342.6</v>
      </c>
      <c r="C3" s="4">
        <v>-74.3</v>
      </c>
      <c r="D3" s="4">
        <v>44.2</v>
      </c>
      <c r="E3" s="4">
        <v>10.199999999999999</v>
      </c>
      <c r="F3" s="4">
        <v>6</v>
      </c>
      <c r="G3" s="21">
        <v>-30.3</v>
      </c>
      <c r="H3" s="21">
        <v>197.6</v>
      </c>
      <c r="I3" s="4" t="s">
        <v>149</v>
      </c>
    </row>
    <row r="4" spans="1:10">
      <c r="A4" s="4" t="s">
        <v>151</v>
      </c>
      <c r="B4" s="4">
        <v>287.89999999999998</v>
      </c>
      <c r="C4" s="4">
        <v>-77.2</v>
      </c>
      <c r="D4" s="4">
        <v>650.4</v>
      </c>
      <c r="E4" s="4">
        <v>2.2000000000000002</v>
      </c>
      <c r="F4" s="4">
        <v>8</v>
      </c>
      <c r="G4" s="21">
        <v>-45.3</v>
      </c>
      <c r="H4" s="21">
        <v>221.9</v>
      </c>
      <c r="I4" s="4" t="s">
        <v>149</v>
      </c>
    </row>
    <row r="5" spans="1:10">
      <c r="A5" s="4" t="s">
        <v>152</v>
      </c>
      <c r="B5" s="4">
        <v>4</v>
      </c>
      <c r="C5" s="4">
        <v>-78</v>
      </c>
      <c r="D5" s="4">
        <v>127.1</v>
      </c>
      <c r="E5" s="4">
        <v>8.1999999999999993</v>
      </c>
      <c r="F5" s="4">
        <v>4</v>
      </c>
      <c r="G5" s="21">
        <v>-35.6</v>
      </c>
      <c r="H5" s="21">
        <v>186</v>
      </c>
      <c r="I5" s="4" t="s">
        <v>149</v>
      </c>
    </row>
    <row r="6" spans="1:10">
      <c r="A6" s="4" t="s">
        <v>153</v>
      </c>
      <c r="B6" s="4">
        <v>306.5</v>
      </c>
      <c r="C6" s="4">
        <v>-73.599999999999994</v>
      </c>
      <c r="D6" s="4">
        <v>128.69999999999999</v>
      </c>
      <c r="E6" s="4">
        <v>5.9</v>
      </c>
      <c r="F6" s="4">
        <v>6</v>
      </c>
      <c r="G6" s="21">
        <v>-35.299999999999997</v>
      </c>
      <c r="H6" s="21">
        <v>216.9</v>
      </c>
      <c r="I6" s="4" t="s">
        <v>149</v>
      </c>
    </row>
    <row r="7" spans="1:10">
      <c r="A7" s="4" t="s">
        <v>154</v>
      </c>
      <c r="B7" s="4">
        <v>302.8</v>
      </c>
      <c r="C7" s="4">
        <v>-84.2</v>
      </c>
      <c r="D7" s="4">
        <v>188.6</v>
      </c>
      <c r="E7" s="4">
        <v>7.3</v>
      </c>
      <c r="F7" s="4">
        <v>4</v>
      </c>
      <c r="G7" s="21">
        <v>-51.2</v>
      </c>
      <c r="H7" s="21">
        <v>202.4</v>
      </c>
      <c r="I7" s="4" t="s">
        <v>149</v>
      </c>
    </row>
    <row r="8" spans="1:10">
      <c r="A8" s="4" t="s">
        <v>155</v>
      </c>
      <c r="B8" s="4">
        <v>277.39999999999998</v>
      </c>
      <c r="C8" s="4">
        <v>-80.7</v>
      </c>
      <c r="D8" s="4">
        <v>20</v>
      </c>
      <c r="E8" s="4">
        <v>11.8</v>
      </c>
      <c r="F8" s="4">
        <v>9</v>
      </c>
      <c r="G8" s="21">
        <v>-52.1</v>
      </c>
      <c r="H8" s="21">
        <v>217.1</v>
      </c>
      <c r="I8" s="4" t="s">
        <v>149</v>
      </c>
    </row>
    <row r="9" spans="1:10">
      <c r="A9" s="4" t="s">
        <v>156</v>
      </c>
      <c r="B9" s="4">
        <v>252</v>
      </c>
      <c r="C9" s="4">
        <v>-73.2</v>
      </c>
      <c r="D9" s="4">
        <v>72.5</v>
      </c>
      <c r="E9" s="4">
        <v>10.199999999999999</v>
      </c>
      <c r="F9" s="4">
        <v>3</v>
      </c>
      <c r="G9" s="21">
        <v>-54.3</v>
      </c>
      <c r="H9" s="21">
        <v>244.6</v>
      </c>
      <c r="I9" s="4" t="s">
        <v>149</v>
      </c>
    </row>
    <row r="10" spans="1:10">
      <c r="A10" s="4" t="s">
        <v>157</v>
      </c>
      <c r="B10" s="4">
        <v>209.1</v>
      </c>
      <c r="C10" s="4">
        <v>-79.900000000000006</v>
      </c>
      <c r="D10" s="4">
        <v>73.400000000000006</v>
      </c>
      <c r="E10" s="4">
        <v>9</v>
      </c>
      <c r="F10" s="4">
        <v>5</v>
      </c>
      <c r="G10" s="4">
        <v>-72.8</v>
      </c>
      <c r="H10" s="4">
        <v>220.7</v>
      </c>
      <c r="I10" s="4" t="s">
        <v>149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BB4C3C-DA55-40B6-8CD0-B44D0943E693}">
  <dimension ref="A1:S118"/>
  <sheetViews>
    <sheetView tabSelected="1" workbookViewId="0">
      <pane ySplit="1" topLeftCell="A71" activePane="bottomLeft" state="frozen"/>
      <selection activeCell="I1" sqref="I1:I1048576"/>
      <selection pane="bottomLeft" activeCell="N89" sqref="N89"/>
    </sheetView>
  </sheetViews>
  <sheetFormatPr defaultRowHeight="12.5"/>
  <cols>
    <col min="9" max="9" width="21.453125" bestFit="1" customWidth="1"/>
    <col min="10" max="10" width="15.81640625" customWidth="1"/>
    <col min="12" max="19" width="8.7265625" style="14"/>
  </cols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9</v>
      </c>
      <c r="J1" t="s">
        <v>8</v>
      </c>
    </row>
    <row r="2" spans="1:10">
      <c r="A2" s="14" t="s">
        <v>161</v>
      </c>
      <c r="B2" s="14">
        <v>304.10000000000002</v>
      </c>
      <c r="C2" s="14">
        <v>-75.8</v>
      </c>
      <c r="D2" s="14">
        <v>251</v>
      </c>
      <c r="E2" s="14">
        <v>4.8</v>
      </c>
      <c r="F2" s="14">
        <v>5</v>
      </c>
      <c r="G2" s="14">
        <v>-38.9</v>
      </c>
      <c r="H2" s="14">
        <v>214.8</v>
      </c>
      <c r="I2" t="s">
        <v>174</v>
      </c>
    </row>
    <row r="3" spans="1:10">
      <c r="A3" s="14" t="s">
        <v>162</v>
      </c>
      <c r="B3" s="14">
        <v>316.7</v>
      </c>
      <c r="C3" s="14">
        <v>-70.900000000000006</v>
      </c>
      <c r="D3" s="14">
        <v>243</v>
      </c>
      <c r="E3" s="14">
        <v>4.9000000000000004</v>
      </c>
      <c r="F3" s="14">
        <v>5</v>
      </c>
      <c r="G3" s="14">
        <v>-29</v>
      </c>
      <c r="H3" s="14">
        <v>212.6</v>
      </c>
      <c r="I3" t="s">
        <v>174</v>
      </c>
    </row>
    <row r="4" spans="1:10">
      <c r="A4" s="14" t="s">
        <v>163</v>
      </c>
      <c r="B4" s="14">
        <v>292.3</v>
      </c>
      <c r="C4" s="14">
        <v>-79.5</v>
      </c>
      <c r="D4" s="14">
        <v>83</v>
      </c>
      <c r="E4" s="14">
        <v>10.1</v>
      </c>
      <c r="F4" s="14">
        <v>4</v>
      </c>
      <c r="G4" s="14">
        <v>-46.9</v>
      </c>
      <c r="H4" s="14">
        <v>214.2</v>
      </c>
      <c r="I4" t="s">
        <v>174</v>
      </c>
    </row>
    <row r="5" spans="1:10">
      <c r="A5" s="14" t="s">
        <v>164</v>
      </c>
      <c r="B5" s="14">
        <v>300.89999999999998</v>
      </c>
      <c r="C5" s="14">
        <v>-79.2</v>
      </c>
      <c r="D5" s="14">
        <v>81</v>
      </c>
      <c r="E5" s="14">
        <v>8.5</v>
      </c>
      <c r="F5" s="14">
        <v>5</v>
      </c>
      <c r="G5" s="14">
        <v>-44.5</v>
      </c>
      <c r="H5" s="14">
        <v>211.5</v>
      </c>
      <c r="I5" t="s">
        <v>174</v>
      </c>
      <c r="J5" t="s">
        <v>175</v>
      </c>
    </row>
    <row r="6" spans="1:10">
      <c r="A6" s="14" t="s">
        <v>165</v>
      </c>
      <c r="B6" s="14">
        <v>5.6</v>
      </c>
      <c r="C6" s="14">
        <v>-75.900000000000006</v>
      </c>
      <c r="D6" s="14">
        <v>60</v>
      </c>
      <c r="E6" s="14">
        <v>9.9</v>
      </c>
      <c r="F6" s="14">
        <v>5</v>
      </c>
      <c r="G6" s="14">
        <v>-31.9</v>
      </c>
      <c r="H6" s="14">
        <v>183.1</v>
      </c>
      <c r="I6" t="s">
        <v>176</v>
      </c>
    </row>
    <row r="7" spans="1:10">
      <c r="A7" s="14" t="s">
        <v>166</v>
      </c>
      <c r="B7" s="14">
        <v>350.8</v>
      </c>
      <c r="C7" s="14">
        <v>-67.5</v>
      </c>
      <c r="D7" s="14">
        <v>204</v>
      </c>
      <c r="E7" s="14">
        <v>5.4</v>
      </c>
      <c r="F7" s="14">
        <v>5</v>
      </c>
      <c r="G7" s="14">
        <v>-19.100000000000001</v>
      </c>
      <c r="H7" s="14">
        <v>192.3</v>
      </c>
      <c r="I7" t="s">
        <v>176</v>
      </c>
    </row>
    <row r="8" spans="1:10">
      <c r="A8" s="14" t="s">
        <v>167</v>
      </c>
      <c r="B8" s="14">
        <v>250.8</v>
      </c>
      <c r="C8" s="14">
        <v>-84.5</v>
      </c>
      <c r="D8" s="14">
        <v>170</v>
      </c>
      <c r="E8" s="14">
        <v>5.2</v>
      </c>
      <c r="F8" s="14">
        <v>6</v>
      </c>
      <c r="G8" s="14">
        <v>-60.4</v>
      </c>
      <c r="H8" s="14">
        <v>207.3</v>
      </c>
      <c r="I8" t="s">
        <v>176</v>
      </c>
    </row>
    <row r="9" spans="1:10">
      <c r="A9" s="14" t="s">
        <v>168</v>
      </c>
      <c r="B9" s="14">
        <v>239</v>
      </c>
      <c r="C9" s="14">
        <v>-81.2</v>
      </c>
      <c r="D9" s="14">
        <v>248</v>
      </c>
      <c r="E9" s="14">
        <v>4.9000000000000004</v>
      </c>
      <c r="F9" s="14">
        <v>5</v>
      </c>
      <c r="G9" s="14">
        <v>-63.4</v>
      </c>
      <c r="H9" s="14">
        <v>220.6</v>
      </c>
      <c r="I9" t="s">
        <v>176</v>
      </c>
    </row>
    <row r="10" spans="1:10">
      <c r="A10" s="14" t="s">
        <v>169</v>
      </c>
      <c r="B10" s="14">
        <v>354.9</v>
      </c>
      <c r="C10" s="14">
        <v>-88.1</v>
      </c>
      <c r="D10" s="14">
        <v>28</v>
      </c>
      <c r="E10" s="14">
        <v>11.6</v>
      </c>
      <c r="F10" s="14">
        <v>7</v>
      </c>
      <c r="G10" s="14">
        <v>-54.7</v>
      </c>
      <c r="H10" s="14">
        <v>186.7</v>
      </c>
      <c r="I10" t="s">
        <v>176</v>
      </c>
    </row>
    <row r="11" spans="1:10">
      <c r="A11" s="14" t="s">
        <v>170</v>
      </c>
      <c r="B11" s="14">
        <v>306.5</v>
      </c>
      <c r="C11" s="14">
        <v>-76.599999999999994</v>
      </c>
      <c r="D11" s="14">
        <v>773</v>
      </c>
      <c r="E11" s="14">
        <v>2.8</v>
      </c>
      <c r="F11" s="14">
        <v>5</v>
      </c>
      <c r="G11" s="14">
        <v>-39.5</v>
      </c>
      <c r="H11" s="14">
        <v>212.7</v>
      </c>
      <c r="I11" t="s">
        <v>176</v>
      </c>
    </row>
    <row r="12" spans="1:10">
      <c r="A12" s="14" t="s">
        <v>171</v>
      </c>
      <c r="B12" s="14">
        <v>29.3</v>
      </c>
      <c r="C12" s="14">
        <v>-82.3</v>
      </c>
      <c r="D12" s="14">
        <v>242</v>
      </c>
      <c r="E12" s="14">
        <v>4.3</v>
      </c>
      <c r="F12" s="14">
        <v>6</v>
      </c>
      <c r="G12" s="14">
        <v>-44.8</v>
      </c>
      <c r="H12" s="14">
        <v>175.7</v>
      </c>
      <c r="I12" t="s">
        <v>176</v>
      </c>
    </row>
    <row r="13" spans="1:10">
      <c r="A13" s="14" t="s">
        <v>172</v>
      </c>
      <c r="B13" s="14">
        <v>10.9</v>
      </c>
      <c r="C13" s="14">
        <v>-72.2</v>
      </c>
      <c r="D13" s="14">
        <v>156</v>
      </c>
      <c r="E13" s="14">
        <v>7.4</v>
      </c>
      <c r="F13" s="14">
        <v>4</v>
      </c>
      <c r="G13" s="14">
        <v>-26.1</v>
      </c>
      <c r="H13" s="14">
        <v>179.6</v>
      </c>
      <c r="I13" t="s">
        <v>176</v>
      </c>
    </row>
    <row r="14" spans="1:10">
      <c r="A14" s="14" t="s">
        <v>173</v>
      </c>
      <c r="B14" s="14">
        <v>322.60000000000002</v>
      </c>
      <c r="C14" s="14">
        <v>-76.8</v>
      </c>
      <c r="D14" s="14">
        <v>79</v>
      </c>
      <c r="E14" s="14">
        <v>8.6</v>
      </c>
      <c r="F14" s="14">
        <v>5</v>
      </c>
      <c r="G14" s="14">
        <v>-36.6</v>
      </c>
      <c r="H14" s="14">
        <v>204.8</v>
      </c>
      <c r="I14" t="s">
        <v>176</v>
      </c>
    </row>
    <row r="15" spans="1:10">
      <c r="A15" s="14">
        <v>6</v>
      </c>
      <c r="B15" s="14">
        <v>28</v>
      </c>
      <c r="C15" s="14">
        <v>-66</v>
      </c>
      <c r="D15" s="14">
        <v>11</v>
      </c>
      <c r="E15" s="14">
        <v>16</v>
      </c>
      <c r="F15" s="14">
        <v>9</v>
      </c>
      <c r="G15" s="14">
        <v>-19.2</v>
      </c>
      <c r="H15" s="14">
        <v>166.7</v>
      </c>
      <c r="I15" t="s">
        <v>176</v>
      </c>
    </row>
    <row r="16" spans="1:10">
      <c r="A16" s="14">
        <v>8</v>
      </c>
      <c r="B16" s="14">
        <v>273</v>
      </c>
      <c r="C16" s="14">
        <v>-70</v>
      </c>
      <c r="D16" s="14">
        <v>58</v>
      </c>
      <c r="E16" s="14">
        <v>8.9</v>
      </c>
      <c r="F16" s="14">
        <v>6</v>
      </c>
      <c r="G16" s="14">
        <v>-42.2</v>
      </c>
      <c r="H16" s="14">
        <v>239</v>
      </c>
      <c r="I16" t="s">
        <v>176</v>
      </c>
    </row>
    <row r="17" spans="1:9">
      <c r="A17" s="14">
        <v>11</v>
      </c>
      <c r="B17" s="14">
        <v>240</v>
      </c>
      <c r="C17" s="14">
        <v>-77</v>
      </c>
      <c r="D17" s="14">
        <v>53</v>
      </c>
      <c r="E17" s="14">
        <v>8.4</v>
      </c>
      <c r="F17" s="14">
        <v>7</v>
      </c>
      <c r="G17" s="14">
        <v>-62</v>
      </c>
      <c r="H17" s="14">
        <v>236.9</v>
      </c>
      <c r="I17" t="s">
        <v>176</v>
      </c>
    </row>
    <row r="18" spans="1:9">
      <c r="A18" s="14" t="s">
        <v>158</v>
      </c>
      <c r="B18" s="14">
        <v>292</v>
      </c>
      <c r="C18" s="14">
        <v>-66</v>
      </c>
      <c r="D18" s="14"/>
      <c r="E18" s="14"/>
      <c r="F18" s="14">
        <v>2</v>
      </c>
      <c r="G18" s="14">
        <v>-30.5</v>
      </c>
      <c r="H18" s="14">
        <v>231.7</v>
      </c>
      <c r="I18" t="s">
        <v>176</v>
      </c>
    </row>
    <row r="19" spans="1:9">
      <c r="A19" s="14" t="s">
        <v>159</v>
      </c>
      <c r="B19" s="14">
        <v>292</v>
      </c>
      <c r="C19" s="14">
        <v>-65</v>
      </c>
      <c r="D19" s="14">
        <v>736</v>
      </c>
      <c r="E19" s="14">
        <v>2.2000000000000002</v>
      </c>
      <c r="F19" s="14">
        <v>7</v>
      </c>
      <c r="G19" s="14">
        <v>-29.3</v>
      </c>
      <c r="H19" s="14">
        <v>232.6</v>
      </c>
      <c r="I19" t="s">
        <v>176</v>
      </c>
    </row>
    <row r="20" spans="1:9">
      <c r="A20" s="14" t="s">
        <v>160</v>
      </c>
      <c r="B20" s="14">
        <v>222</v>
      </c>
      <c r="C20" s="14">
        <v>-70</v>
      </c>
      <c r="D20" s="14"/>
      <c r="E20" s="14"/>
      <c r="F20" s="14">
        <v>2</v>
      </c>
      <c r="G20" s="14">
        <v>-66.599999999999994</v>
      </c>
      <c r="H20" s="14">
        <v>268.8</v>
      </c>
      <c r="I20" t="s">
        <v>176</v>
      </c>
    </row>
    <row r="21" spans="1:9">
      <c r="A21" s="14" t="s">
        <v>177</v>
      </c>
      <c r="B21" s="14">
        <v>240.8</v>
      </c>
      <c r="C21" s="14">
        <v>-72.8</v>
      </c>
      <c r="D21" s="14">
        <v>51</v>
      </c>
      <c r="E21" s="14">
        <v>8.6999999999999993</v>
      </c>
      <c r="F21" s="14">
        <v>6</v>
      </c>
      <c r="G21" s="14">
        <v>-59.2</v>
      </c>
      <c r="H21" s="14">
        <v>250</v>
      </c>
      <c r="I21" t="s">
        <v>176</v>
      </c>
    </row>
    <row r="22" spans="1:9">
      <c r="A22" s="14" t="s">
        <v>178</v>
      </c>
      <c r="B22" s="14">
        <v>286.2</v>
      </c>
      <c r="C22" s="14">
        <v>-67.2</v>
      </c>
      <c r="D22" s="14">
        <v>375</v>
      </c>
      <c r="E22" s="14">
        <v>6.4</v>
      </c>
      <c r="F22" s="14">
        <v>3</v>
      </c>
      <c r="G22" s="14">
        <v>-34</v>
      </c>
      <c r="H22" s="14">
        <v>234.3</v>
      </c>
      <c r="I22" t="s">
        <v>176</v>
      </c>
    </row>
    <row r="23" spans="1:9">
      <c r="A23" s="14" t="s">
        <v>179</v>
      </c>
      <c r="B23" s="14">
        <v>288.7</v>
      </c>
      <c r="C23" s="14">
        <v>-78.099999999999994</v>
      </c>
      <c r="D23" s="14">
        <v>190</v>
      </c>
      <c r="E23" s="14">
        <v>6.7</v>
      </c>
      <c r="F23" s="14">
        <v>4</v>
      </c>
      <c r="G23" s="14">
        <v>-46.1</v>
      </c>
      <c r="H23" s="14">
        <v>218.1</v>
      </c>
      <c r="I23" t="s">
        <v>176</v>
      </c>
    </row>
    <row r="24" spans="1:9">
      <c r="A24" s="14" t="s">
        <v>180</v>
      </c>
      <c r="B24" s="14">
        <v>276.10000000000002</v>
      </c>
      <c r="C24" s="14">
        <v>-75.099999999999994</v>
      </c>
      <c r="D24" s="14">
        <v>58</v>
      </c>
      <c r="E24" s="14">
        <v>8.1999999999999993</v>
      </c>
      <c r="F24" s="14">
        <v>6</v>
      </c>
      <c r="G24" s="14">
        <v>-46.6</v>
      </c>
      <c r="H24" s="14">
        <v>228.9</v>
      </c>
      <c r="I24" t="s">
        <v>176</v>
      </c>
    </row>
    <row r="25" spans="1:9">
      <c r="A25" s="14" t="s">
        <v>181</v>
      </c>
      <c r="B25" s="14">
        <v>339.7</v>
      </c>
      <c r="C25" s="14">
        <v>-81.2</v>
      </c>
      <c r="D25" s="14">
        <v>221</v>
      </c>
      <c r="E25" s="14">
        <v>8.3000000000000007</v>
      </c>
      <c r="F25" s="14">
        <v>3</v>
      </c>
      <c r="G25" s="14">
        <v>-42</v>
      </c>
      <c r="H25" s="14">
        <v>194</v>
      </c>
      <c r="I25" t="s">
        <v>176</v>
      </c>
    </row>
    <row r="26" spans="1:9">
      <c r="A26" s="14" t="s">
        <v>182</v>
      </c>
      <c r="B26" s="14">
        <v>33.700000000000003</v>
      </c>
      <c r="C26" s="14">
        <v>-83.2</v>
      </c>
      <c r="D26" s="14">
        <v>143</v>
      </c>
      <c r="E26" s="14">
        <v>10.3</v>
      </c>
      <c r="F26" s="14">
        <v>3</v>
      </c>
      <c r="G26" s="14">
        <v>-46.8</v>
      </c>
      <c r="H26" s="14">
        <v>175.3</v>
      </c>
      <c r="I26" t="s">
        <v>176</v>
      </c>
    </row>
    <row r="27" spans="1:9">
      <c r="A27" s="14" t="s">
        <v>183</v>
      </c>
      <c r="B27" s="14">
        <v>8.8000000000000007</v>
      </c>
      <c r="C27" s="14">
        <v>-63.6</v>
      </c>
      <c r="D27" s="14">
        <v>67</v>
      </c>
      <c r="E27" s="14">
        <v>8.3000000000000007</v>
      </c>
      <c r="F27" s="14">
        <v>6</v>
      </c>
      <c r="G27" s="14">
        <v>-14</v>
      </c>
      <c r="H27" s="14">
        <v>179.7</v>
      </c>
      <c r="I27" t="s">
        <v>176</v>
      </c>
    </row>
    <row r="28" spans="1:9">
      <c r="A28" s="14" t="s">
        <v>184</v>
      </c>
      <c r="B28" s="14">
        <v>345</v>
      </c>
      <c r="C28" s="14">
        <v>-78.599999999999994</v>
      </c>
      <c r="D28" s="14">
        <v>993</v>
      </c>
      <c r="E28" s="14">
        <v>2.5</v>
      </c>
      <c r="F28" s="14">
        <v>4</v>
      </c>
      <c r="G28" s="14">
        <v>-37</v>
      </c>
      <c r="H28" s="14">
        <v>193.1</v>
      </c>
      <c r="I28" t="s">
        <v>176</v>
      </c>
    </row>
    <row r="29" spans="1:9">
      <c r="A29" s="14" t="s">
        <v>185</v>
      </c>
      <c r="B29" s="14">
        <v>327.10000000000002</v>
      </c>
      <c r="C29" s="14">
        <v>-76.2</v>
      </c>
      <c r="D29" s="14">
        <v>65</v>
      </c>
      <c r="E29" s="14">
        <v>9.6</v>
      </c>
      <c r="F29" s="14">
        <v>5</v>
      </c>
      <c r="G29" s="14">
        <v>-34.9</v>
      </c>
      <c r="H29" s="14">
        <v>203.1</v>
      </c>
      <c r="I29" t="s">
        <v>176</v>
      </c>
    </row>
    <row r="30" spans="1:9">
      <c r="A30" s="14" t="s">
        <v>186</v>
      </c>
      <c r="B30" s="14">
        <v>41.1</v>
      </c>
      <c r="C30" s="14">
        <v>-78</v>
      </c>
      <c r="D30" s="14">
        <v>191</v>
      </c>
      <c r="E30" s="14">
        <v>5.6</v>
      </c>
      <c r="F30" s="14">
        <v>5</v>
      </c>
      <c r="G30" s="14">
        <v>-39.1</v>
      </c>
      <c r="H30" s="14">
        <v>166.7</v>
      </c>
      <c r="I30" t="s">
        <v>176</v>
      </c>
    </row>
    <row r="31" spans="1:9">
      <c r="A31" s="14" t="s">
        <v>187</v>
      </c>
      <c r="B31" s="14">
        <v>55.9</v>
      </c>
      <c r="C31" s="14">
        <v>-82.4</v>
      </c>
      <c r="D31" s="14">
        <v>196</v>
      </c>
      <c r="E31" s="14">
        <v>5.5</v>
      </c>
      <c r="F31" s="14">
        <v>5</v>
      </c>
      <c r="G31" s="14">
        <v>-48.4</v>
      </c>
      <c r="H31" s="14">
        <v>167.3</v>
      </c>
      <c r="I31" t="s">
        <v>176</v>
      </c>
    </row>
    <row r="32" spans="1:9">
      <c r="A32" s="14" t="s">
        <v>188</v>
      </c>
      <c r="B32" s="14">
        <v>334.3</v>
      </c>
      <c r="C32" s="14">
        <v>-76.3</v>
      </c>
      <c r="D32" s="14">
        <v>245</v>
      </c>
      <c r="E32" s="14">
        <v>5.9</v>
      </c>
      <c r="F32" s="14">
        <v>4</v>
      </c>
      <c r="G32" s="14">
        <v>-34.1</v>
      </c>
      <c r="H32" s="14">
        <v>199.4</v>
      </c>
      <c r="I32" t="s">
        <v>176</v>
      </c>
    </row>
    <row r="33" spans="1:9">
      <c r="A33" s="14" t="s">
        <v>189</v>
      </c>
      <c r="B33" s="14">
        <v>312.7</v>
      </c>
      <c r="C33" s="14">
        <v>-66.599999999999994</v>
      </c>
      <c r="D33" s="14">
        <v>83</v>
      </c>
      <c r="E33" s="14">
        <v>6.7</v>
      </c>
      <c r="F33" s="14">
        <v>7</v>
      </c>
      <c r="G33" s="14">
        <v>-24.4</v>
      </c>
      <c r="H33" s="14">
        <v>218</v>
      </c>
      <c r="I33" t="s">
        <v>176</v>
      </c>
    </row>
    <row r="34" spans="1:9">
      <c r="A34" s="14" t="s">
        <v>190</v>
      </c>
      <c r="B34" s="14">
        <v>290.10000000000002</v>
      </c>
      <c r="C34" s="14">
        <v>-59.7</v>
      </c>
      <c r="D34" s="14">
        <v>108</v>
      </c>
      <c r="E34" s="14">
        <v>6.5</v>
      </c>
      <c r="F34" s="14">
        <v>6</v>
      </c>
      <c r="G34" s="14">
        <v>-24.7</v>
      </c>
      <c r="H34" s="14">
        <v>237.9</v>
      </c>
      <c r="I34" t="s">
        <v>176</v>
      </c>
    </row>
    <row r="35" spans="1:9">
      <c r="A35" s="14" t="s">
        <v>191</v>
      </c>
      <c r="B35" s="14">
        <v>29.4</v>
      </c>
      <c r="C35" s="14">
        <v>-74.599999999999994</v>
      </c>
      <c r="D35" s="14">
        <v>102</v>
      </c>
      <c r="E35" s="14">
        <v>5.5</v>
      </c>
      <c r="F35" s="14">
        <v>8</v>
      </c>
      <c r="G35" s="14">
        <v>-31.8</v>
      </c>
      <c r="H35" s="14">
        <v>169.9</v>
      </c>
      <c r="I35" t="s">
        <v>176</v>
      </c>
    </row>
    <row r="36" spans="1:9">
      <c r="A36" s="14" t="s">
        <v>192</v>
      </c>
      <c r="B36" s="14">
        <v>267.60000000000002</v>
      </c>
      <c r="C36" s="14">
        <v>-63.2</v>
      </c>
      <c r="D36" s="14">
        <v>110</v>
      </c>
      <c r="E36" s="14">
        <v>5.3</v>
      </c>
      <c r="F36" s="14">
        <v>8</v>
      </c>
      <c r="G36" s="14">
        <v>-38</v>
      </c>
      <c r="H36" s="14">
        <v>250.4</v>
      </c>
      <c r="I36" t="s">
        <v>176</v>
      </c>
    </row>
    <row r="37" spans="1:9">
      <c r="A37" s="14" t="s">
        <v>193</v>
      </c>
      <c r="B37" s="14">
        <v>344.3</v>
      </c>
      <c r="C37" s="14">
        <v>-65.599999999999994</v>
      </c>
      <c r="D37" s="14">
        <v>101</v>
      </c>
      <c r="E37" s="14">
        <v>6</v>
      </c>
      <c r="F37" s="14">
        <v>7</v>
      </c>
      <c r="G37" s="14">
        <v>-17.100000000000001</v>
      </c>
      <c r="H37" s="14">
        <v>197.1</v>
      </c>
      <c r="I37" t="s">
        <v>176</v>
      </c>
    </row>
    <row r="38" spans="1:9">
      <c r="A38" s="14" t="s">
        <v>194</v>
      </c>
      <c r="B38" s="14">
        <v>274.89999999999998</v>
      </c>
      <c r="C38" s="14">
        <v>-50.2</v>
      </c>
      <c r="D38" s="14">
        <v>186</v>
      </c>
      <c r="E38" s="14">
        <v>3.8</v>
      </c>
      <c r="F38" s="14">
        <v>9</v>
      </c>
      <c r="G38" s="14">
        <v>-23.6</v>
      </c>
      <c r="H38" s="14">
        <v>254.9</v>
      </c>
      <c r="I38" t="s">
        <v>176</v>
      </c>
    </row>
    <row r="39" spans="1:9">
      <c r="A39" s="14" t="s">
        <v>195</v>
      </c>
      <c r="B39" s="14">
        <v>147.19999999999999</v>
      </c>
      <c r="C39" s="14">
        <v>-82.3</v>
      </c>
      <c r="D39" s="14">
        <v>153</v>
      </c>
      <c r="E39" s="14">
        <v>4.9000000000000004</v>
      </c>
      <c r="F39" s="14">
        <v>7</v>
      </c>
      <c r="G39" s="14">
        <v>-69.7</v>
      </c>
      <c r="H39" s="14">
        <v>162.1</v>
      </c>
      <c r="I39" t="s">
        <v>176</v>
      </c>
    </row>
    <row r="40" spans="1:9">
      <c r="A40" s="14" t="s">
        <v>196</v>
      </c>
      <c r="B40" s="14">
        <v>318.60000000000002</v>
      </c>
      <c r="C40" s="14">
        <v>-73.099999999999994</v>
      </c>
      <c r="D40" s="14">
        <v>154</v>
      </c>
      <c r="E40" s="14">
        <v>3.9</v>
      </c>
      <c r="F40" s="14">
        <v>10</v>
      </c>
      <c r="G40" s="14">
        <v>-31.7</v>
      </c>
      <c r="H40" s="14">
        <v>209.9</v>
      </c>
      <c r="I40" t="s">
        <v>176</v>
      </c>
    </row>
    <row r="41" spans="1:9">
      <c r="A41" s="14" t="s">
        <v>197</v>
      </c>
      <c r="B41" s="14">
        <v>299.2</v>
      </c>
      <c r="C41" s="14">
        <v>-63.4</v>
      </c>
      <c r="D41" s="14">
        <v>194</v>
      </c>
      <c r="E41" s="14">
        <v>4</v>
      </c>
      <c r="F41" s="14">
        <v>8</v>
      </c>
      <c r="G41" s="14">
        <v>-25</v>
      </c>
      <c r="H41" s="14">
        <v>229.1</v>
      </c>
      <c r="I41" t="s">
        <v>176</v>
      </c>
    </row>
    <row r="42" spans="1:9">
      <c r="A42" s="14" t="s">
        <v>198</v>
      </c>
      <c r="B42" s="14">
        <v>340.6</v>
      </c>
      <c r="C42" s="14">
        <v>-72.8</v>
      </c>
      <c r="D42" s="14">
        <v>170</v>
      </c>
      <c r="E42" s="14">
        <v>5.9</v>
      </c>
      <c r="F42" s="14">
        <v>5</v>
      </c>
      <c r="G42" s="14">
        <v>-27.7</v>
      </c>
      <c r="H42" s="14">
        <v>197.5</v>
      </c>
      <c r="I42" t="s">
        <v>176</v>
      </c>
    </row>
    <row r="43" spans="1:9">
      <c r="A43" s="14" t="s">
        <v>199</v>
      </c>
      <c r="B43" s="14">
        <v>319.39999999999998</v>
      </c>
      <c r="C43" s="14">
        <v>-67.5</v>
      </c>
      <c r="D43" s="14">
        <v>39</v>
      </c>
      <c r="E43" s="14">
        <v>14.9</v>
      </c>
      <c r="F43" s="14">
        <v>5</v>
      </c>
      <c r="G43" s="14">
        <v>-23.8</v>
      </c>
      <c r="H43" s="14">
        <v>213.1</v>
      </c>
      <c r="I43" t="s">
        <v>176</v>
      </c>
    </row>
    <row r="44" spans="1:9">
      <c r="A44" s="14" t="s">
        <v>200</v>
      </c>
      <c r="B44" s="14">
        <v>282</v>
      </c>
      <c r="C44" s="14">
        <v>-67.5</v>
      </c>
      <c r="D44" s="14">
        <v>155</v>
      </c>
      <c r="E44" s="14">
        <v>7.4</v>
      </c>
      <c r="F44" s="14">
        <v>4</v>
      </c>
      <c r="G44" s="14">
        <v>-36</v>
      </c>
      <c r="H44" s="14">
        <v>236.5</v>
      </c>
      <c r="I44" t="s">
        <v>176</v>
      </c>
    </row>
    <row r="45" spans="1:9">
      <c r="A45" s="14" t="s">
        <v>201</v>
      </c>
      <c r="B45" s="14">
        <v>299.8</v>
      </c>
      <c r="C45" s="14">
        <v>-75.5</v>
      </c>
      <c r="D45" s="14">
        <v>27</v>
      </c>
      <c r="E45" s="14">
        <v>14.9</v>
      </c>
      <c r="F45" s="14">
        <v>5</v>
      </c>
      <c r="G45" s="14">
        <v>-39.6</v>
      </c>
      <c r="H45" s="14">
        <v>217.3</v>
      </c>
      <c r="I45" t="s">
        <v>176</v>
      </c>
    </row>
    <row r="46" spans="1:9">
      <c r="A46" s="14" t="s">
        <v>202</v>
      </c>
      <c r="B46" s="14">
        <v>321.5</v>
      </c>
      <c r="C46" s="14">
        <v>-78.8</v>
      </c>
      <c r="D46" s="14"/>
      <c r="E46" s="14"/>
      <c r="F46" s="14">
        <v>2</v>
      </c>
      <c r="G46" s="14">
        <v>-40</v>
      </c>
      <c r="H46" s="14">
        <v>203.5</v>
      </c>
      <c r="I46" t="s">
        <v>176</v>
      </c>
    </row>
    <row r="47" spans="1:9">
      <c r="A47" s="14" t="s">
        <v>203</v>
      </c>
      <c r="B47" s="14">
        <v>302.8</v>
      </c>
      <c r="C47" s="14">
        <v>-65.5</v>
      </c>
      <c r="D47" s="14">
        <v>24</v>
      </c>
      <c r="E47" s="14">
        <v>14.3</v>
      </c>
      <c r="F47" s="14">
        <v>5</v>
      </c>
      <c r="G47" s="14">
        <v>-26.1</v>
      </c>
      <c r="H47" s="14">
        <v>225.2</v>
      </c>
      <c r="I47" t="s">
        <v>176</v>
      </c>
    </row>
    <row r="48" spans="1:9">
      <c r="A48" s="14" t="s">
        <v>204</v>
      </c>
      <c r="B48" s="14">
        <v>292</v>
      </c>
      <c r="C48" s="14">
        <v>-72.099999999999994</v>
      </c>
      <c r="D48" s="14">
        <v>63</v>
      </c>
      <c r="E48" s="14">
        <v>8.5</v>
      </c>
      <c r="F48" s="14">
        <v>5</v>
      </c>
      <c r="G48" s="14">
        <v>-37.6</v>
      </c>
      <c r="H48" s="14">
        <v>225.5</v>
      </c>
      <c r="I48" t="s">
        <v>176</v>
      </c>
    </row>
    <row r="49" spans="1:9">
      <c r="A49" s="14" t="s">
        <v>205</v>
      </c>
      <c r="B49" s="14">
        <v>332.7</v>
      </c>
      <c r="C49" s="14">
        <v>-71.099999999999994</v>
      </c>
      <c r="D49" s="14">
        <v>26</v>
      </c>
      <c r="E49" s="14">
        <v>12</v>
      </c>
      <c r="F49" s="14">
        <v>7</v>
      </c>
      <c r="G49" s="14">
        <v>-26.2</v>
      </c>
      <c r="H49" s="14">
        <v>202.9</v>
      </c>
      <c r="I49" t="s">
        <v>176</v>
      </c>
    </row>
    <row r="50" spans="1:9">
      <c r="A50" s="14" t="s">
        <v>206</v>
      </c>
      <c r="B50" s="14">
        <v>343.3</v>
      </c>
      <c r="C50" s="14">
        <v>-69.099999999999994</v>
      </c>
      <c r="D50" s="14">
        <v>139</v>
      </c>
      <c r="E50" s="14">
        <v>5.7</v>
      </c>
      <c r="F50" s="14">
        <v>6</v>
      </c>
      <c r="G50" s="14">
        <v>-22</v>
      </c>
      <c r="H50" s="14">
        <v>196.9</v>
      </c>
      <c r="I50" t="s">
        <v>176</v>
      </c>
    </row>
    <row r="51" spans="1:9">
      <c r="A51" s="14" t="s">
        <v>207</v>
      </c>
      <c r="B51" s="14">
        <v>323.89999999999998</v>
      </c>
      <c r="C51" s="14">
        <v>-72.400000000000006</v>
      </c>
      <c r="D51" s="14">
        <v>56</v>
      </c>
      <c r="E51" s="14">
        <v>10.3</v>
      </c>
      <c r="F51" s="14">
        <v>5</v>
      </c>
      <c r="G51" s="14">
        <v>-29.6</v>
      </c>
      <c r="H51" s="14">
        <v>207.4</v>
      </c>
      <c r="I51" t="s">
        <v>176</v>
      </c>
    </row>
    <row r="52" spans="1:9">
      <c r="A52" s="14" t="s">
        <v>208</v>
      </c>
      <c r="B52" s="14">
        <v>315.60000000000002</v>
      </c>
      <c r="C52" s="14">
        <v>-81.400000000000006</v>
      </c>
      <c r="D52" s="14">
        <v>572</v>
      </c>
      <c r="E52" s="14">
        <v>2.6</v>
      </c>
      <c r="F52" s="14">
        <v>5</v>
      </c>
      <c r="G52" s="14">
        <v>-45.1</v>
      </c>
      <c r="H52" s="14">
        <v>202.8</v>
      </c>
      <c r="I52" t="s">
        <v>176</v>
      </c>
    </row>
    <row r="53" spans="1:9">
      <c r="A53" s="14" t="s">
        <v>209</v>
      </c>
      <c r="B53" s="14">
        <v>295.2</v>
      </c>
      <c r="C53" s="14">
        <v>-61.9</v>
      </c>
      <c r="D53" s="14">
        <v>62</v>
      </c>
      <c r="E53" s="14">
        <v>10.199999999999999</v>
      </c>
      <c r="F53" s="14">
        <v>4</v>
      </c>
      <c r="G53" s="14">
        <v>-24.9</v>
      </c>
      <c r="H53" s="14">
        <v>232.8</v>
      </c>
      <c r="I53" t="s">
        <v>210</v>
      </c>
    </row>
    <row r="54" spans="1:9">
      <c r="A54" s="14" t="s">
        <v>211</v>
      </c>
      <c r="B54" s="14">
        <v>309.2</v>
      </c>
      <c r="C54" s="14">
        <v>-52.6</v>
      </c>
      <c r="D54" s="14">
        <v>116</v>
      </c>
      <c r="E54" s="14">
        <v>7.4</v>
      </c>
      <c r="F54" s="14">
        <v>4</v>
      </c>
      <c r="G54" s="14">
        <v>-11</v>
      </c>
      <c r="H54" s="14">
        <v>227.4</v>
      </c>
      <c r="I54" t="s">
        <v>210</v>
      </c>
    </row>
    <row r="55" spans="1:9">
      <c r="A55" s="14" t="s">
        <v>212</v>
      </c>
      <c r="B55" s="14">
        <v>335.8</v>
      </c>
      <c r="C55" s="14">
        <v>-66.2</v>
      </c>
      <c r="D55" s="14">
        <v>110</v>
      </c>
      <c r="E55" s="14">
        <v>5.8</v>
      </c>
      <c r="F55" s="14">
        <v>7</v>
      </c>
      <c r="G55" s="14">
        <v>-18.899999999999999</v>
      </c>
      <c r="H55" s="14">
        <v>202.8</v>
      </c>
      <c r="I55" t="s">
        <v>210</v>
      </c>
    </row>
    <row r="56" spans="1:9">
      <c r="A56" s="14" t="s">
        <v>213</v>
      </c>
      <c r="B56" s="14">
        <v>303.10000000000002</v>
      </c>
      <c r="C56" s="14">
        <v>-69.400000000000006</v>
      </c>
      <c r="D56" s="14">
        <v>88</v>
      </c>
      <c r="E56" s="14">
        <v>9.8000000000000007</v>
      </c>
      <c r="F56" s="14">
        <v>4</v>
      </c>
      <c r="G56" s="14">
        <v>-30.7</v>
      </c>
      <c r="H56" s="14">
        <v>221.9</v>
      </c>
      <c r="I56" t="s">
        <v>210</v>
      </c>
    </row>
    <row r="57" spans="1:9">
      <c r="A57" s="14" t="s">
        <v>214</v>
      </c>
      <c r="B57" s="14">
        <v>324.39999999999998</v>
      </c>
      <c r="C57" s="14">
        <v>-58.7</v>
      </c>
      <c r="D57" s="14">
        <v>228</v>
      </c>
      <c r="E57" s="14">
        <v>11.7</v>
      </c>
      <c r="F57" s="14">
        <v>2</v>
      </c>
      <c r="G57" s="14">
        <v>-12.3</v>
      </c>
      <c r="H57" s="14">
        <v>213.5</v>
      </c>
      <c r="I57" t="s">
        <v>210</v>
      </c>
    </row>
    <row r="58" spans="1:9">
      <c r="A58" s="14" t="s">
        <v>215</v>
      </c>
      <c r="B58" s="14">
        <v>309.60000000000002</v>
      </c>
      <c r="C58" s="14">
        <v>-42.3</v>
      </c>
      <c r="D58" s="14">
        <v>48</v>
      </c>
      <c r="E58" s="14">
        <v>0</v>
      </c>
      <c r="F58" s="14">
        <v>5</v>
      </c>
      <c r="G58" s="14">
        <v>-2.9</v>
      </c>
      <c r="H58" s="14">
        <v>230.7</v>
      </c>
      <c r="I58" t="s">
        <v>210</v>
      </c>
    </row>
    <row r="59" spans="1:9">
      <c r="A59" s="14" t="s">
        <v>216</v>
      </c>
      <c r="B59" s="14">
        <v>346.2</v>
      </c>
      <c r="C59" s="14">
        <v>-69.7</v>
      </c>
      <c r="D59" s="14">
        <v>31</v>
      </c>
      <c r="E59" s="14">
        <v>12.1</v>
      </c>
      <c r="F59" s="14">
        <v>6</v>
      </c>
      <c r="G59" s="14">
        <v>-22.6</v>
      </c>
      <c r="H59" s="14">
        <v>194.9</v>
      </c>
      <c r="I59" t="s">
        <v>210</v>
      </c>
    </row>
    <row r="60" spans="1:9">
      <c r="A60" s="14" t="s">
        <v>217</v>
      </c>
      <c r="B60" s="14">
        <v>296.89999999999998</v>
      </c>
      <c r="C60" s="14">
        <v>-67</v>
      </c>
      <c r="D60" s="14">
        <v>425</v>
      </c>
      <c r="E60" s="14">
        <v>3.7</v>
      </c>
      <c r="F60" s="14">
        <v>5</v>
      </c>
      <c r="G60" s="14">
        <v>-29.8</v>
      </c>
      <c r="H60" s="14">
        <v>227.8</v>
      </c>
      <c r="I60" t="s">
        <v>210</v>
      </c>
    </row>
    <row r="61" spans="1:9">
      <c r="A61" s="14" t="s">
        <v>218</v>
      </c>
      <c r="B61" s="14">
        <v>336.4</v>
      </c>
      <c r="C61" s="14">
        <v>-41.9</v>
      </c>
      <c r="D61" s="14">
        <v>145</v>
      </c>
      <c r="E61" s="14">
        <v>6.4</v>
      </c>
      <c r="F61" s="14">
        <v>5</v>
      </c>
      <c r="G61" s="14">
        <v>5</v>
      </c>
      <c r="H61" s="14">
        <v>207.6</v>
      </c>
      <c r="I61" t="s">
        <v>210</v>
      </c>
    </row>
    <row r="62" spans="1:9">
      <c r="A62" s="14" t="s">
        <v>219</v>
      </c>
      <c r="B62" s="14">
        <v>327.8</v>
      </c>
      <c r="C62" s="14">
        <v>-63.4</v>
      </c>
      <c r="D62" s="14">
        <v>77</v>
      </c>
      <c r="E62" s="14">
        <v>6.4</v>
      </c>
      <c r="F62" s="14">
        <v>8</v>
      </c>
      <c r="G62" s="14">
        <v>-16.8</v>
      </c>
      <c r="H62" s="14">
        <v>209.3</v>
      </c>
      <c r="I62" t="s">
        <v>210</v>
      </c>
    </row>
    <row r="63" spans="1:9">
      <c r="A63" s="14" t="s">
        <v>220</v>
      </c>
      <c r="B63" s="14">
        <v>354.3</v>
      </c>
      <c r="C63" s="14">
        <v>-52.3</v>
      </c>
      <c r="D63" s="14">
        <v>67</v>
      </c>
      <c r="E63" s="14">
        <v>9.8000000000000007</v>
      </c>
      <c r="F63" s="14">
        <v>4</v>
      </c>
      <c r="G63" s="14">
        <v>-1.5</v>
      </c>
      <c r="H63" s="14">
        <v>190.9</v>
      </c>
      <c r="I63" t="s">
        <v>210</v>
      </c>
    </row>
    <row r="64" spans="1:9">
      <c r="A64" s="14" t="s">
        <v>221</v>
      </c>
      <c r="B64" s="14">
        <v>284.8</v>
      </c>
      <c r="C64" s="14">
        <v>-70.599999999999994</v>
      </c>
      <c r="D64" s="14">
        <v>89</v>
      </c>
      <c r="E64" s="14">
        <v>9.8000000000000007</v>
      </c>
      <c r="F64" s="14">
        <v>4</v>
      </c>
      <c r="G64" s="14">
        <v>-38.299999999999997</v>
      </c>
      <c r="H64" s="14">
        <v>231.3</v>
      </c>
      <c r="I64" t="s">
        <v>210</v>
      </c>
    </row>
    <row r="65" spans="1:9">
      <c r="A65" s="14" t="s">
        <v>222</v>
      </c>
      <c r="B65" s="14">
        <v>296.10000000000002</v>
      </c>
      <c r="C65" s="14">
        <v>-65.3</v>
      </c>
      <c r="D65" s="14">
        <v>57</v>
      </c>
      <c r="E65" s="14">
        <v>8.9</v>
      </c>
      <c r="F65" s="14">
        <v>6</v>
      </c>
      <c r="G65" s="14">
        <v>-28.2</v>
      </c>
      <c r="H65" s="14">
        <v>229.7</v>
      </c>
      <c r="I65" t="s">
        <v>210</v>
      </c>
    </row>
    <row r="66" spans="1:9">
      <c r="A66" s="14" t="s">
        <v>223</v>
      </c>
      <c r="B66" s="14">
        <v>294.89999999999998</v>
      </c>
      <c r="C66" s="14">
        <v>-57.7</v>
      </c>
      <c r="D66" s="14">
        <v>331</v>
      </c>
      <c r="E66" s="14">
        <v>4.2</v>
      </c>
      <c r="F66" s="14">
        <v>5</v>
      </c>
      <c r="G66" s="14">
        <v>-20.9</v>
      </c>
      <c r="H66" s="14">
        <v>235.7</v>
      </c>
      <c r="I66" t="s">
        <v>210</v>
      </c>
    </row>
    <row r="67" spans="1:9">
      <c r="A67" s="14" t="s">
        <v>224</v>
      </c>
      <c r="B67" s="14">
        <v>69.400000000000006</v>
      </c>
      <c r="C67" s="14">
        <v>-75.599999999999994</v>
      </c>
      <c r="D67" s="14">
        <v>62</v>
      </c>
      <c r="E67" s="14">
        <v>8.6</v>
      </c>
      <c r="F67" s="14">
        <v>6</v>
      </c>
      <c r="G67" s="14">
        <v>-42.4</v>
      </c>
      <c r="H67" s="14">
        <v>150.69999999999999</v>
      </c>
      <c r="I67" t="s">
        <v>210</v>
      </c>
    </row>
    <row r="68" spans="1:9">
      <c r="A68" s="14" t="s">
        <v>225</v>
      </c>
      <c r="B68" s="14">
        <v>266.10000000000002</v>
      </c>
      <c r="C68" s="14">
        <v>-70.5</v>
      </c>
      <c r="D68" s="14">
        <v>89</v>
      </c>
      <c r="E68" s="14">
        <v>8.1</v>
      </c>
      <c r="F68" s="14">
        <v>5</v>
      </c>
      <c r="G68" s="14">
        <v>-45.8</v>
      </c>
      <c r="H68" s="14">
        <v>241.8</v>
      </c>
      <c r="I68" t="s">
        <v>210</v>
      </c>
    </row>
    <row r="69" spans="1:9">
      <c r="A69" s="14" t="s">
        <v>226</v>
      </c>
      <c r="B69" s="14">
        <v>290.8</v>
      </c>
      <c r="C69" s="14">
        <v>-79</v>
      </c>
      <c r="D69" s="14">
        <v>398</v>
      </c>
      <c r="E69" s="14">
        <v>4.5999999999999996</v>
      </c>
      <c r="F69" s="14">
        <v>4</v>
      </c>
      <c r="G69" s="14">
        <v>-46.7</v>
      </c>
      <c r="H69" s="14">
        <v>215.7</v>
      </c>
      <c r="I69" t="s">
        <v>210</v>
      </c>
    </row>
    <row r="70" spans="1:9">
      <c r="A70" s="14" t="s">
        <v>227</v>
      </c>
      <c r="B70" s="14">
        <v>339</v>
      </c>
      <c r="C70" s="14">
        <v>-81.3</v>
      </c>
      <c r="D70" s="14">
        <v>238</v>
      </c>
      <c r="E70" s="14">
        <v>3.6</v>
      </c>
      <c r="F70" s="14">
        <v>8</v>
      </c>
      <c r="G70" s="14">
        <v>-42.3</v>
      </c>
      <c r="H70" s="14">
        <v>194.2</v>
      </c>
      <c r="I70" t="s">
        <v>210</v>
      </c>
    </row>
    <row r="71" spans="1:9">
      <c r="A71" s="14" t="s">
        <v>228</v>
      </c>
      <c r="B71" s="14">
        <v>114.9</v>
      </c>
      <c r="C71" s="14">
        <v>-85.5</v>
      </c>
      <c r="D71" s="14">
        <v>37</v>
      </c>
      <c r="E71" s="14">
        <v>8.6</v>
      </c>
      <c r="F71" s="14">
        <v>9</v>
      </c>
      <c r="G71" s="14">
        <v>-61.2</v>
      </c>
      <c r="H71" s="14">
        <v>169.1</v>
      </c>
      <c r="I71" t="s">
        <v>210</v>
      </c>
    </row>
    <row r="72" spans="1:9">
      <c r="A72" s="14" t="s">
        <v>229</v>
      </c>
      <c r="B72" s="14">
        <v>313.39999999999998</v>
      </c>
      <c r="C72" s="14">
        <v>-59.5</v>
      </c>
      <c r="D72" s="14">
        <v>58</v>
      </c>
      <c r="E72" s="14">
        <v>8.9</v>
      </c>
      <c r="F72" s="14">
        <v>6</v>
      </c>
      <c r="G72" s="14">
        <v>-16.100000000000001</v>
      </c>
      <c r="H72" s="14">
        <v>221.3</v>
      </c>
      <c r="I72" t="s">
        <v>210</v>
      </c>
    </row>
    <row r="73" spans="1:9">
      <c r="A73" s="14" t="s">
        <v>230</v>
      </c>
      <c r="B73" s="14">
        <v>293.10000000000002</v>
      </c>
      <c r="C73" s="14">
        <v>-79.099999999999994</v>
      </c>
      <c r="D73" s="14">
        <v>106</v>
      </c>
      <c r="E73" s="14">
        <v>7.5</v>
      </c>
      <c r="F73" s="14">
        <v>5</v>
      </c>
      <c r="G73" s="14">
        <v>-46.2</v>
      </c>
      <c r="H73" s="14">
        <v>214.6</v>
      </c>
      <c r="I73" t="s">
        <v>210</v>
      </c>
    </row>
    <row r="74" spans="1:9">
      <c r="A74" s="14" t="s">
        <v>231</v>
      </c>
      <c r="B74" s="14">
        <v>302.10000000000002</v>
      </c>
      <c r="C74" s="14">
        <v>-48.8</v>
      </c>
      <c r="D74" s="14">
        <v>63</v>
      </c>
      <c r="E74" s="14">
        <v>8.5</v>
      </c>
      <c r="F74" s="14">
        <v>6</v>
      </c>
      <c r="G74" s="14">
        <v>-10.5</v>
      </c>
      <c r="H74" s="14">
        <v>234.5</v>
      </c>
      <c r="I74" t="s">
        <v>210</v>
      </c>
    </row>
    <row r="75" spans="1:9">
      <c r="A75" s="14" t="s">
        <v>232</v>
      </c>
      <c r="B75" s="14">
        <v>346.1</v>
      </c>
      <c r="C75" s="14">
        <v>-79.7</v>
      </c>
      <c r="D75" s="14">
        <v>579</v>
      </c>
      <c r="E75" s="14">
        <v>3.2</v>
      </c>
      <c r="F75" s="14">
        <v>5</v>
      </c>
      <c r="G75" s="14">
        <v>-38.9</v>
      </c>
      <c r="H75" s="14">
        <v>192.2</v>
      </c>
      <c r="I75" t="s">
        <v>210</v>
      </c>
    </row>
    <row r="76" spans="1:9">
      <c r="A76" s="14" t="s">
        <v>233</v>
      </c>
      <c r="B76" s="14">
        <v>356.6</v>
      </c>
      <c r="C76" s="14">
        <v>-74.400000000000006</v>
      </c>
      <c r="D76" s="14">
        <v>142</v>
      </c>
      <c r="E76" s="14">
        <v>5.6</v>
      </c>
      <c r="F76" s="14">
        <v>6</v>
      </c>
      <c r="G76" s="14">
        <v>-29.4</v>
      </c>
      <c r="H76" s="14">
        <v>188</v>
      </c>
      <c r="I76" t="s">
        <v>210</v>
      </c>
    </row>
    <row r="77" spans="1:9">
      <c r="A77" s="14" t="s">
        <v>234</v>
      </c>
      <c r="B77" s="14">
        <v>195.2</v>
      </c>
      <c r="C77" s="14">
        <v>-70.099999999999994</v>
      </c>
      <c r="D77" s="14">
        <v>47</v>
      </c>
      <c r="E77" s="14">
        <v>9.9</v>
      </c>
      <c r="F77" s="14">
        <v>8</v>
      </c>
      <c r="G77" s="14">
        <v>-80.5</v>
      </c>
      <c r="H77" s="14">
        <v>-62.8</v>
      </c>
      <c r="I77" t="s">
        <v>210</v>
      </c>
    </row>
    <row r="78" spans="1:9">
      <c r="A78" s="14" t="s">
        <v>235</v>
      </c>
      <c r="B78" s="14">
        <v>339.2</v>
      </c>
      <c r="C78" s="14">
        <v>-78.099999999999994</v>
      </c>
      <c r="D78" s="14">
        <v>814</v>
      </c>
      <c r="E78" s="14">
        <v>2.4</v>
      </c>
      <c r="F78" s="14">
        <v>6</v>
      </c>
      <c r="G78" s="14">
        <v>-36.6</v>
      </c>
      <c r="H78" s="14">
        <v>196</v>
      </c>
      <c r="I78" t="s">
        <v>210</v>
      </c>
    </row>
    <row r="79" spans="1:9">
      <c r="A79" s="14" t="s">
        <v>236</v>
      </c>
      <c r="B79" s="14">
        <v>279.10000000000002</v>
      </c>
      <c r="C79" s="14">
        <v>-61.5</v>
      </c>
      <c r="D79" s="14">
        <v>98</v>
      </c>
      <c r="E79" s="14">
        <v>6.8</v>
      </c>
      <c r="F79" s="14">
        <v>6</v>
      </c>
      <c r="G79" s="14">
        <v>-31.1</v>
      </c>
      <c r="H79" s="14">
        <v>244.1</v>
      </c>
      <c r="I79" t="s">
        <v>210</v>
      </c>
    </row>
    <row r="80" spans="1:9">
      <c r="A80" s="14" t="s">
        <v>237</v>
      </c>
      <c r="B80" s="14">
        <v>262.2</v>
      </c>
      <c r="C80" s="14">
        <v>-51.1</v>
      </c>
      <c r="D80" s="14">
        <v>98</v>
      </c>
      <c r="E80" s="14">
        <v>7.8</v>
      </c>
      <c r="F80" s="14">
        <v>5</v>
      </c>
      <c r="G80" s="14">
        <v>-30.6</v>
      </c>
      <c r="H80" s="14">
        <v>264.2</v>
      </c>
      <c r="I80" t="s">
        <v>210</v>
      </c>
    </row>
    <row r="81" spans="1:9">
      <c r="A81" s="14" t="s">
        <v>238</v>
      </c>
      <c r="B81" s="14">
        <v>225.8</v>
      </c>
      <c r="C81" s="14">
        <v>-77.3</v>
      </c>
      <c r="D81" s="14">
        <v>93</v>
      </c>
      <c r="E81" s="14">
        <v>0</v>
      </c>
      <c r="F81" s="14">
        <v>6</v>
      </c>
      <c r="G81" s="14">
        <v>-68</v>
      </c>
      <c r="H81" s="14">
        <v>237.9</v>
      </c>
      <c r="I81" t="s">
        <v>210</v>
      </c>
    </row>
    <row r="82" spans="1:9">
      <c r="A82" s="14" t="s">
        <v>239</v>
      </c>
      <c r="B82" s="14">
        <v>333.2</v>
      </c>
      <c r="C82" s="14">
        <v>-69.7</v>
      </c>
      <c r="D82" s="14">
        <v>59</v>
      </c>
      <c r="E82" s="14">
        <v>16.2</v>
      </c>
      <c r="F82" s="14">
        <v>3</v>
      </c>
      <c r="G82" s="14">
        <v>-24.1</v>
      </c>
      <c r="H82" s="14">
        <v>203.2</v>
      </c>
      <c r="I82" t="s">
        <v>210</v>
      </c>
    </row>
    <row r="83" spans="1:9">
      <c r="A83" s="14" t="s">
        <v>240</v>
      </c>
      <c r="B83" s="14">
        <v>354</v>
      </c>
      <c r="C83" s="14">
        <v>-82.4</v>
      </c>
      <c r="D83" s="14">
        <v>159</v>
      </c>
      <c r="E83" s="14">
        <v>5.3</v>
      </c>
      <c r="F83" s="14">
        <v>6</v>
      </c>
      <c r="G83" s="14">
        <v>-43.6</v>
      </c>
      <c r="H83" s="14">
        <v>188.2</v>
      </c>
      <c r="I83" t="s">
        <v>210</v>
      </c>
    </row>
    <row r="84" spans="1:9">
      <c r="A84" s="14" t="s">
        <v>241</v>
      </c>
      <c r="B84" s="14">
        <v>260.3</v>
      </c>
      <c r="C84" s="14">
        <v>-74.400000000000006</v>
      </c>
      <c r="D84" s="14">
        <v>61</v>
      </c>
      <c r="E84" s="14">
        <v>7.9</v>
      </c>
      <c r="F84" s="14">
        <v>6</v>
      </c>
      <c r="G84" s="14">
        <v>-51.9</v>
      </c>
      <c r="H84" s="14">
        <v>237.3</v>
      </c>
      <c r="I84" t="s">
        <v>210</v>
      </c>
    </row>
    <row r="85" spans="1:9">
      <c r="A85" s="14" t="s">
        <v>242</v>
      </c>
      <c r="B85" s="14">
        <v>283.7</v>
      </c>
      <c r="C85" s="14">
        <v>-74.099999999999994</v>
      </c>
      <c r="D85" s="14">
        <v>42</v>
      </c>
      <c r="E85" s="14">
        <v>11.9</v>
      </c>
      <c r="F85" s="14">
        <v>5</v>
      </c>
      <c r="G85" s="14">
        <v>-42.8</v>
      </c>
      <c r="H85" s="14">
        <v>227.1</v>
      </c>
      <c r="I85" t="s">
        <v>210</v>
      </c>
    </row>
    <row r="86" spans="1:9">
      <c r="A86" s="14" t="s">
        <v>243</v>
      </c>
      <c r="B86" s="14">
        <v>30.5</v>
      </c>
      <c r="C86" s="14">
        <v>-68.099999999999994</v>
      </c>
      <c r="D86" s="14">
        <v>243</v>
      </c>
      <c r="E86" s="14">
        <v>4.9000000000000004</v>
      </c>
      <c r="F86" s="14">
        <v>5</v>
      </c>
      <c r="G86" s="14">
        <v>-22.5</v>
      </c>
      <c r="H86" s="14">
        <v>166</v>
      </c>
      <c r="I86" t="s">
        <v>210</v>
      </c>
    </row>
    <row r="87" spans="1:9">
      <c r="A87" s="14" t="s">
        <v>244</v>
      </c>
      <c r="B87" s="14">
        <v>336.7</v>
      </c>
      <c r="C87" s="14">
        <v>-83.6</v>
      </c>
      <c r="D87" s="14">
        <v>65</v>
      </c>
      <c r="E87" s="14">
        <v>7.5</v>
      </c>
      <c r="F87" s="14">
        <v>7</v>
      </c>
      <c r="G87" s="14">
        <v>-46.6</v>
      </c>
      <c r="H87" s="14">
        <v>193.3</v>
      </c>
      <c r="I87" t="s">
        <v>210</v>
      </c>
    </row>
    <row r="88" spans="1:9">
      <c r="A88" s="14" t="s">
        <v>245</v>
      </c>
      <c r="B88" s="14">
        <v>310.2</v>
      </c>
      <c r="C88" s="14">
        <v>-60.5</v>
      </c>
      <c r="D88" s="14">
        <v>68</v>
      </c>
      <c r="E88" s="14">
        <v>9.3000000000000007</v>
      </c>
      <c r="F88" s="14">
        <v>5</v>
      </c>
      <c r="G88" s="14">
        <v>-18.2</v>
      </c>
      <c r="H88" s="14">
        <v>223.1</v>
      </c>
      <c r="I88" t="s">
        <v>210</v>
      </c>
    </row>
    <row r="89" spans="1:9">
      <c r="A89" s="14" t="s">
        <v>246</v>
      </c>
      <c r="B89" s="14">
        <v>281.2</v>
      </c>
      <c r="C89" s="14">
        <v>-61.6</v>
      </c>
      <c r="D89" s="14">
        <v>86</v>
      </c>
      <c r="E89" s="14">
        <v>7.4</v>
      </c>
      <c r="F89" s="14">
        <v>5</v>
      </c>
      <c r="G89" s="14">
        <v>-30.3</v>
      </c>
      <c r="H89" s="14">
        <v>242.6</v>
      </c>
      <c r="I89" t="s">
        <v>210</v>
      </c>
    </row>
    <row r="90" spans="1:9">
      <c r="A90" s="14" t="s">
        <v>247</v>
      </c>
      <c r="B90" s="14">
        <v>27.3</v>
      </c>
      <c r="C90" s="14">
        <v>-73.599999999999994</v>
      </c>
      <c r="D90" s="14">
        <v>70</v>
      </c>
      <c r="E90" s="14">
        <v>7.3</v>
      </c>
      <c r="F90" s="14">
        <v>7</v>
      </c>
      <c r="G90" s="14">
        <v>-30</v>
      </c>
      <c r="H90" s="14">
        <v>170.5</v>
      </c>
      <c r="I90" t="s">
        <v>210</v>
      </c>
    </row>
    <row r="91" spans="1:9">
      <c r="A91" s="14" t="s">
        <v>248</v>
      </c>
      <c r="B91" s="14">
        <v>253.8</v>
      </c>
      <c r="C91" s="14">
        <v>-64.900000000000006</v>
      </c>
      <c r="D91" s="14">
        <v>57</v>
      </c>
      <c r="E91" s="14">
        <v>13.4</v>
      </c>
      <c r="F91" s="14">
        <v>3</v>
      </c>
      <c r="G91" s="14">
        <v>-46.2</v>
      </c>
      <c r="H91" s="14">
        <v>257.7</v>
      </c>
      <c r="I91" t="s">
        <v>210</v>
      </c>
    </row>
    <row r="92" spans="1:9">
      <c r="A92" s="14" t="s">
        <v>249</v>
      </c>
      <c r="B92" s="14">
        <v>294.60000000000002</v>
      </c>
      <c r="C92" s="14">
        <v>-73</v>
      </c>
      <c r="D92" s="14">
        <v>59</v>
      </c>
      <c r="E92" s="14">
        <v>0</v>
      </c>
      <c r="F92" s="14">
        <v>4</v>
      </c>
      <c r="G92" s="14">
        <v>-37.9</v>
      </c>
      <c r="H92" s="14">
        <v>223</v>
      </c>
      <c r="I92" t="s">
        <v>210</v>
      </c>
    </row>
    <row r="93" spans="1:9">
      <c r="A93" s="14" t="s">
        <v>250</v>
      </c>
      <c r="B93" s="14">
        <v>276.7</v>
      </c>
      <c r="C93" s="14">
        <v>-68.099999999999994</v>
      </c>
      <c r="D93" s="14">
        <v>84</v>
      </c>
      <c r="E93" s="14">
        <v>7.5</v>
      </c>
      <c r="F93" s="14">
        <v>5</v>
      </c>
      <c r="G93" s="14">
        <v>-38.799999999999997</v>
      </c>
      <c r="H93" s="14">
        <v>239.1</v>
      </c>
      <c r="I93" t="s">
        <v>210</v>
      </c>
    </row>
    <row r="94" spans="1:9">
      <c r="A94" s="14" t="s">
        <v>251</v>
      </c>
      <c r="B94" s="14">
        <v>309.5</v>
      </c>
      <c r="C94" s="14">
        <v>-51</v>
      </c>
      <c r="D94" s="14">
        <v>363</v>
      </c>
      <c r="E94" s="14">
        <v>3.2</v>
      </c>
      <c r="F94" s="14">
        <v>6</v>
      </c>
      <c r="G94" s="14">
        <v>-9.5</v>
      </c>
      <c r="H94" s="14">
        <v>227.8</v>
      </c>
      <c r="I94" t="s">
        <v>210</v>
      </c>
    </row>
    <row r="95" spans="1:9">
      <c r="A95" s="14" t="s">
        <v>252</v>
      </c>
      <c r="B95" s="14">
        <v>313.89999999999998</v>
      </c>
      <c r="C95" s="14">
        <v>-80.5</v>
      </c>
      <c r="D95" s="14">
        <v>456</v>
      </c>
      <c r="E95" s="14">
        <v>3.2</v>
      </c>
      <c r="F95" s="14">
        <v>5</v>
      </c>
      <c r="G95" s="14">
        <v>-43.9</v>
      </c>
      <c r="H95" s="14">
        <v>204.6</v>
      </c>
      <c r="I95" t="s">
        <v>210</v>
      </c>
    </row>
    <row r="96" spans="1:9">
      <c r="A96" s="14" t="s">
        <v>253</v>
      </c>
      <c r="B96" s="14">
        <v>281.39999999999998</v>
      </c>
      <c r="C96" s="14">
        <v>-71</v>
      </c>
      <c r="D96" s="14">
        <v>141</v>
      </c>
      <c r="E96" s="14">
        <v>5.8</v>
      </c>
      <c r="F96" s="14">
        <v>5</v>
      </c>
      <c r="G96" s="14">
        <v>-40.1</v>
      </c>
      <c r="H96" s="14">
        <v>232.7</v>
      </c>
      <c r="I96" t="s">
        <v>210</v>
      </c>
    </row>
    <row r="97" spans="1:9">
      <c r="A97" s="14" t="s">
        <v>254</v>
      </c>
      <c r="B97" s="14">
        <v>267.89999999999998</v>
      </c>
      <c r="C97" s="14">
        <v>-71.400000000000006</v>
      </c>
      <c r="D97" s="14">
        <v>20</v>
      </c>
      <c r="E97" s="14">
        <v>17.399999999999999</v>
      </c>
      <c r="F97" s="14">
        <v>5</v>
      </c>
      <c r="G97" s="14">
        <v>-45.9</v>
      </c>
      <c r="H97" s="14">
        <v>239.4</v>
      </c>
      <c r="I97" t="s">
        <v>210</v>
      </c>
    </row>
    <row r="98" spans="1:9">
      <c r="A98" s="14" t="s">
        <v>255</v>
      </c>
      <c r="B98" s="14">
        <v>280.3</v>
      </c>
      <c r="C98" s="14">
        <v>-67.599999999999994</v>
      </c>
      <c r="D98" s="14">
        <v>518</v>
      </c>
      <c r="E98" s="14">
        <v>5.4</v>
      </c>
      <c r="F98" s="14">
        <v>3</v>
      </c>
      <c r="G98" s="14">
        <v>-36.799999999999997</v>
      </c>
      <c r="H98" s="14">
        <v>237.5</v>
      </c>
      <c r="I98" t="s">
        <v>210</v>
      </c>
    </row>
    <row r="99" spans="1:9">
      <c r="A99" s="14" t="s">
        <v>256</v>
      </c>
      <c r="B99" s="14">
        <v>223.4</v>
      </c>
      <c r="C99" s="14">
        <v>-82.2</v>
      </c>
      <c r="D99" s="14">
        <v>102</v>
      </c>
      <c r="E99" s="14">
        <v>6.8</v>
      </c>
      <c r="F99" s="14">
        <v>5</v>
      </c>
      <c r="G99" s="14">
        <v>-67.3</v>
      </c>
      <c r="H99" s="14">
        <v>214.2</v>
      </c>
      <c r="I99" t="s">
        <v>210</v>
      </c>
    </row>
    <row r="100" spans="1:9">
      <c r="A100" s="14" t="s">
        <v>257</v>
      </c>
      <c r="B100" s="14">
        <v>183.4</v>
      </c>
      <c r="C100" s="14">
        <v>-77.099999999999994</v>
      </c>
      <c r="D100" s="14">
        <v>408</v>
      </c>
      <c r="E100" s="14">
        <v>3.3</v>
      </c>
      <c r="F100" s="14">
        <v>6</v>
      </c>
      <c r="G100" s="14">
        <v>-82.9</v>
      </c>
      <c r="H100" s="14">
        <v>197.7</v>
      </c>
      <c r="I100" t="s">
        <v>210</v>
      </c>
    </row>
    <row r="101" spans="1:9">
      <c r="A101" s="14" t="s">
        <v>258</v>
      </c>
      <c r="B101" s="14">
        <v>320.10000000000002</v>
      </c>
      <c r="C101" s="14">
        <v>-83.5</v>
      </c>
      <c r="D101" s="14">
        <v>256</v>
      </c>
      <c r="E101" s="14">
        <v>3.8</v>
      </c>
      <c r="F101" s="14">
        <v>7</v>
      </c>
      <c r="G101" s="14">
        <v>-47.9</v>
      </c>
      <c r="H101" s="14">
        <v>198.4</v>
      </c>
      <c r="I101" t="s">
        <v>210</v>
      </c>
    </row>
    <row r="102" spans="1:9">
      <c r="A102" s="14" t="s">
        <v>259</v>
      </c>
      <c r="B102" s="14">
        <v>307.89999999999998</v>
      </c>
      <c r="C102" s="14">
        <v>-78.7</v>
      </c>
      <c r="D102" s="14">
        <v>186</v>
      </c>
      <c r="E102" s="14">
        <v>6.6</v>
      </c>
      <c r="F102" s="14">
        <v>5</v>
      </c>
      <c r="G102" s="14">
        <v>-42.3</v>
      </c>
      <c r="H102" s="14">
        <v>209.4</v>
      </c>
      <c r="I102" t="s">
        <v>210</v>
      </c>
    </row>
    <row r="103" spans="1:9">
      <c r="A103" s="14" t="s">
        <v>260</v>
      </c>
      <c r="B103" s="14">
        <v>271</v>
      </c>
      <c r="C103" s="14">
        <v>-70.599999999999994</v>
      </c>
      <c r="D103" s="14">
        <v>55</v>
      </c>
      <c r="E103" s="14">
        <v>9.3000000000000007</v>
      </c>
      <c r="F103" s="14">
        <v>5</v>
      </c>
      <c r="G103" s="14">
        <v>-43.8</v>
      </c>
      <c r="H103" s="14">
        <v>239</v>
      </c>
      <c r="I103" t="s">
        <v>210</v>
      </c>
    </row>
    <row r="104" spans="1:9">
      <c r="A104" s="14" t="s">
        <v>261</v>
      </c>
      <c r="B104" s="14">
        <v>263.8</v>
      </c>
      <c r="C104" s="14">
        <v>-76</v>
      </c>
      <c r="D104" s="14">
        <v>70</v>
      </c>
      <c r="E104" s="14">
        <v>7.4</v>
      </c>
      <c r="F104" s="14">
        <v>6</v>
      </c>
      <c r="G104" s="14">
        <v>-52</v>
      </c>
      <c r="H104" s="14">
        <v>232.2</v>
      </c>
      <c r="I104" t="s">
        <v>210</v>
      </c>
    </row>
    <row r="105" spans="1:9">
      <c r="A105" s="14" t="s">
        <v>262</v>
      </c>
      <c r="B105" s="14">
        <v>11</v>
      </c>
      <c r="C105" s="14">
        <v>-75.5</v>
      </c>
      <c r="D105" s="14">
        <v>106</v>
      </c>
      <c r="E105" s="14">
        <v>7.7</v>
      </c>
      <c r="F105" s="14">
        <v>4</v>
      </c>
      <c r="G105" s="14">
        <v>-31.4</v>
      </c>
      <c r="H105" s="14">
        <v>180.2</v>
      </c>
      <c r="I105" t="s">
        <v>210</v>
      </c>
    </row>
    <row r="106" spans="1:9">
      <c r="A106" s="14" t="s">
        <v>263</v>
      </c>
      <c r="B106" s="14">
        <v>314.10000000000002</v>
      </c>
      <c r="C106" s="14">
        <v>-55.7</v>
      </c>
      <c r="D106" s="14">
        <v>359</v>
      </c>
      <c r="E106" s="14">
        <v>3.6</v>
      </c>
      <c r="F106" s="14">
        <v>5</v>
      </c>
      <c r="G106" s="14">
        <v>-12.2</v>
      </c>
      <c r="H106" s="14">
        <v>222.4</v>
      </c>
      <c r="I106" t="s">
        <v>210</v>
      </c>
    </row>
    <row r="107" spans="1:9">
      <c r="A107" s="14" t="s">
        <v>264</v>
      </c>
      <c r="B107" s="14">
        <v>273.60000000000002</v>
      </c>
      <c r="C107" s="14">
        <v>-83</v>
      </c>
      <c r="D107" s="14">
        <v>176</v>
      </c>
      <c r="E107" s="14">
        <v>5.2</v>
      </c>
      <c r="F107" s="14">
        <v>5</v>
      </c>
      <c r="G107" s="14">
        <v>-55.1</v>
      </c>
      <c r="H107" s="14">
        <v>210.7</v>
      </c>
      <c r="I107" t="s">
        <v>210</v>
      </c>
    </row>
    <row r="108" spans="1:9">
      <c r="A108" s="14" t="s">
        <v>265</v>
      </c>
      <c r="B108" s="14">
        <v>313.8</v>
      </c>
      <c r="C108" s="14">
        <v>-59.1</v>
      </c>
      <c r="D108" s="14">
        <v>399</v>
      </c>
      <c r="E108" s="14">
        <v>3.4</v>
      </c>
      <c r="F108" s="14">
        <v>5</v>
      </c>
      <c r="G108" s="14">
        <v>-15.6</v>
      </c>
      <c r="H108" s="14">
        <v>221.2</v>
      </c>
      <c r="I108" t="s">
        <v>210</v>
      </c>
    </row>
    <row r="109" spans="1:9">
      <c r="A109" s="14" t="s">
        <v>266</v>
      </c>
      <c r="B109" s="14">
        <v>350.5</v>
      </c>
      <c r="C109" s="14">
        <v>-58.9</v>
      </c>
      <c r="D109" s="14">
        <v>108</v>
      </c>
      <c r="E109" s="14">
        <v>5.9</v>
      </c>
      <c r="F109" s="14">
        <v>6</v>
      </c>
      <c r="G109" s="14">
        <v>-8.5</v>
      </c>
      <c r="H109" s="14">
        <v>193.5</v>
      </c>
      <c r="I109" t="s">
        <v>210</v>
      </c>
    </row>
    <row r="110" spans="1:9">
      <c r="A110" s="14" t="s">
        <v>267</v>
      </c>
      <c r="B110" s="14">
        <v>79.8</v>
      </c>
      <c r="C110" s="14">
        <v>-85.9</v>
      </c>
      <c r="D110" s="14">
        <v>401</v>
      </c>
      <c r="E110" s="14">
        <v>2.8</v>
      </c>
      <c r="F110" s="14">
        <v>7</v>
      </c>
      <c r="G110" s="14">
        <v>-56.2</v>
      </c>
      <c r="H110" s="14">
        <v>171.6</v>
      </c>
      <c r="I110" t="s">
        <v>210</v>
      </c>
    </row>
    <row r="111" spans="1:9">
      <c r="A111" s="14" t="s">
        <v>268</v>
      </c>
      <c r="B111" s="14">
        <v>350.9</v>
      </c>
      <c r="C111" s="14">
        <v>-76.400000000000006</v>
      </c>
      <c r="D111" s="14">
        <v>97</v>
      </c>
      <c r="E111" s="14">
        <v>6.3</v>
      </c>
      <c r="F111" s="14">
        <v>6</v>
      </c>
      <c r="G111" s="14">
        <v>-32.9</v>
      </c>
      <c r="H111" s="14">
        <v>190.8</v>
      </c>
      <c r="I111" t="s">
        <v>210</v>
      </c>
    </row>
    <row r="112" spans="1:9">
      <c r="A112" s="14" t="s">
        <v>269</v>
      </c>
      <c r="B112" s="14">
        <v>263.8</v>
      </c>
      <c r="C112" s="14">
        <v>-65.599999999999994</v>
      </c>
      <c r="D112" s="14">
        <v>170</v>
      </c>
      <c r="E112" s="14">
        <v>5.9</v>
      </c>
      <c r="F112" s="14">
        <v>5</v>
      </c>
      <c r="G112" s="14">
        <v>-42</v>
      </c>
      <c r="H112" s="14">
        <v>250.1</v>
      </c>
      <c r="I112" t="s">
        <v>210</v>
      </c>
    </row>
    <row r="113" spans="1:9">
      <c r="A113" s="14" t="s">
        <v>270</v>
      </c>
      <c r="B113" s="14">
        <v>247</v>
      </c>
      <c r="C113" s="14">
        <v>-69.5</v>
      </c>
      <c r="D113" s="14">
        <v>275</v>
      </c>
      <c r="E113" s="14">
        <v>4.5999999999999996</v>
      </c>
      <c r="F113" s="14">
        <v>5</v>
      </c>
      <c r="G113" s="14">
        <v>-53.6</v>
      </c>
      <c r="H113" s="14">
        <v>254.4</v>
      </c>
      <c r="I113" t="s">
        <v>210</v>
      </c>
    </row>
    <row r="114" spans="1:9">
      <c r="A114" s="14" t="s">
        <v>271</v>
      </c>
      <c r="B114" s="14">
        <v>249.3</v>
      </c>
      <c r="C114" s="14">
        <v>-79.099999999999994</v>
      </c>
      <c r="D114" s="14">
        <v>203</v>
      </c>
      <c r="E114" s="14">
        <v>5.4</v>
      </c>
      <c r="F114" s="14">
        <v>5</v>
      </c>
      <c r="G114" s="14">
        <v>-59.5</v>
      </c>
      <c r="H114" s="14">
        <v>227.7</v>
      </c>
      <c r="I114" t="s">
        <v>210</v>
      </c>
    </row>
    <row r="115" spans="1:9">
      <c r="A115" s="14" t="s">
        <v>272</v>
      </c>
      <c r="B115" s="14">
        <v>261.60000000000002</v>
      </c>
      <c r="C115" s="14">
        <v>-80.5</v>
      </c>
      <c r="D115" s="14">
        <v>85</v>
      </c>
      <c r="E115" s="14">
        <v>8.3000000000000007</v>
      </c>
      <c r="F115" s="14">
        <v>5</v>
      </c>
      <c r="G115" s="14">
        <v>-56.4</v>
      </c>
      <c r="H115" s="14">
        <v>220.7</v>
      </c>
      <c r="I115" t="s">
        <v>210</v>
      </c>
    </row>
    <row r="116" spans="1:9">
      <c r="A116" s="14" t="s">
        <v>273</v>
      </c>
      <c r="B116" s="14">
        <v>283.10000000000002</v>
      </c>
      <c r="C116" s="14">
        <v>-60.5</v>
      </c>
      <c r="D116" s="14">
        <v>60</v>
      </c>
      <c r="E116" s="14">
        <v>9.9</v>
      </c>
      <c r="F116" s="14">
        <v>5</v>
      </c>
      <c r="G116" s="14">
        <v>-28.4</v>
      </c>
      <c r="H116" s="14">
        <v>242.2</v>
      </c>
      <c r="I116" t="s">
        <v>210</v>
      </c>
    </row>
    <row r="117" spans="1:9">
      <c r="A117" s="14" t="s">
        <v>274</v>
      </c>
      <c r="B117" s="14">
        <v>340.1</v>
      </c>
      <c r="C117" s="14">
        <v>-64</v>
      </c>
      <c r="D117" s="14">
        <v>246</v>
      </c>
      <c r="E117" s="14">
        <v>4.3</v>
      </c>
      <c r="F117" s="14">
        <v>6</v>
      </c>
      <c r="G117" s="14">
        <v>-15.5</v>
      </c>
      <c r="H117" s="14">
        <v>200.4</v>
      </c>
      <c r="I117" t="s">
        <v>210</v>
      </c>
    </row>
    <row r="118" spans="1:9">
      <c r="A118" s="14" t="s">
        <v>275</v>
      </c>
      <c r="B118" s="14">
        <v>244.9</v>
      </c>
      <c r="C118" s="14">
        <v>-73.8</v>
      </c>
      <c r="D118" s="14">
        <v>145</v>
      </c>
      <c r="E118" s="14">
        <v>5.6</v>
      </c>
      <c r="F118" s="14">
        <v>6</v>
      </c>
      <c r="G118" s="14">
        <v>-58.1</v>
      </c>
      <c r="H118" s="14">
        <v>245.4</v>
      </c>
      <c r="I118" t="s">
        <v>210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C28760-3ACD-41DD-A768-DF924DA9A5E0}">
  <dimension ref="A1:J12"/>
  <sheetViews>
    <sheetView workbookViewId="0">
      <selection sqref="A1:A1048576"/>
    </sheetView>
  </sheetViews>
  <sheetFormatPr defaultColWidth="8.81640625" defaultRowHeight="12.5"/>
  <cols>
    <col min="1" max="8" width="8.81640625" style="4"/>
    <col min="9" max="9" width="18.54296875" style="4" bestFit="1" customWidth="1"/>
    <col min="10" max="10" width="15.81640625" style="4" customWidth="1"/>
    <col min="11" max="16384" width="8.81640625" style="4"/>
  </cols>
  <sheetData>
    <row r="1" spans="1:10">
      <c r="A1" s="62" t="s">
        <v>0</v>
      </c>
      <c r="B1" s="56" t="s">
        <v>1</v>
      </c>
      <c r="C1" s="56" t="s">
        <v>2</v>
      </c>
      <c r="D1" s="56" t="s">
        <v>3</v>
      </c>
      <c r="E1" s="56" t="s">
        <v>4</v>
      </c>
      <c r="F1" s="56" t="s">
        <v>5</v>
      </c>
      <c r="G1" s="56" t="s">
        <v>6</v>
      </c>
      <c r="H1" s="56" t="s">
        <v>7</v>
      </c>
      <c r="I1" s="4" t="s">
        <v>9</v>
      </c>
      <c r="J1" s="4" t="s">
        <v>8</v>
      </c>
    </row>
    <row r="2" spans="1:10">
      <c r="A2" s="4" t="s">
        <v>276</v>
      </c>
      <c r="B2" s="4">
        <v>301.8</v>
      </c>
      <c r="C2" s="4">
        <v>-24.3</v>
      </c>
      <c r="D2" s="10">
        <v>307</v>
      </c>
      <c r="E2" s="4">
        <v>4.4000000000000004</v>
      </c>
      <c r="F2" s="9">
        <v>5</v>
      </c>
      <c r="G2" s="21">
        <v>4.9679818549241617</v>
      </c>
      <c r="H2" s="21">
        <v>248.12073811914445</v>
      </c>
      <c r="I2" s="4" t="s">
        <v>277</v>
      </c>
    </row>
    <row r="3" spans="1:10">
      <c r="A3" s="4" t="s">
        <v>278</v>
      </c>
      <c r="B3" s="4">
        <v>304.8</v>
      </c>
      <c r="C3" s="4">
        <v>-23.6</v>
      </c>
      <c r="D3" s="10">
        <v>546</v>
      </c>
      <c r="E3" s="4">
        <v>2.6</v>
      </c>
      <c r="F3" s="9">
        <v>7</v>
      </c>
      <c r="G3" s="21">
        <v>6.6326646303524797</v>
      </c>
      <c r="H3" s="21">
        <v>245.66572133957098</v>
      </c>
      <c r="I3" s="4" t="s">
        <v>277</v>
      </c>
    </row>
    <row r="4" spans="1:10">
      <c r="A4" s="4" t="s">
        <v>279</v>
      </c>
      <c r="B4" s="4">
        <v>307.60000000000002</v>
      </c>
      <c r="C4" s="4">
        <v>-18.3</v>
      </c>
      <c r="D4" s="10">
        <v>1111</v>
      </c>
      <c r="E4" s="4">
        <v>2</v>
      </c>
      <c r="F4" s="9">
        <v>6</v>
      </c>
      <c r="G4" s="21">
        <v>10.467844890824836</v>
      </c>
      <c r="H4" s="21">
        <v>244.44622349039045</v>
      </c>
      <c r="I4" s="4" t="s">
        <v>277</v>
      </c>
    </row>
    <row r="5" spans="1:10">
      <c r="A5" s="4" t="s">
        <v>280</v>
      </c>
      <c r="B5" s="4">
        <v>304.5</v>
      </c>
      <c r="C5" s="4">
        <v>-14</v>
      </c>
      <c r="D5" s="10">
        <v>1167</v>
      </c>
      <c r="E5" s="4">
        <v>2</v>
      </c>
      <c r="F5" s="9">
        <v>6</v>
      </c>
      <c r="G5" s="21">
        <v>11.17936830970234</v>
      </c>
      <c r="H5" s="21">
        <v>248.27176725399107</v>
      </c>
      <c r="I5" s="4" t="s">
        <v>277</v>
      </c>
    </row>
    <row r="6" spans="1:10">
      <c r="A6" s="4" t="s">
        <v>281</v>
      </c>
      <c r="B6" s="4">
        <v>311.8</v>
      </c>
      <c r="C6" s="4">
        <v>-11.9</v>
      </c>
      <c r="D6" s="10">
        <v>76</v>
      </c>
      <c r="E6" s="4">
        <v>7.7</v>
      </c>
      <c r="F6" s="9">
        <v>6</v>
      </c>
      <c r="G6" s="21">
        <v>15.276509541966419</v>
      </c>
      <c r="H6" s="21">
        <v>242.02184156186499</v>
      </c>
      <c r="I6" s="4" t="s">
        <v>277</v>
      </c>
    </row>
    <row r="7" spans="1:10">
      <c r="A7" s="4" t="s">
        <v>282</v>
      </c>
      <c r="B7" s="4">
        <v>296.3</v>
      </c>
      <c r="C7" s="4">
        <v>-28.2</v>
      </c>
      <c r="D7" s="10">
        <v>189</v>
      </c>
      <c r="E7" s="4">
        <v>4.9000000000000004</v>
      </c>
      <c r="F7" s="9">
        <v>6</v>
      </c>
      <c r="G7" s="21">
        <v>0.46133143660939879</v>
      </c>
      <c r="H7" s="21">
        <v>251.78967877363161</v>
      </c>
      <c r="I7" s="4" t="s">
        <v>277</v>
      </c>
    </row>
    <row r="8" spans="1:10">
      <c r="A8" s="4" t="s">
        <v>283</v>
      </c>
      <c r="B8" s="4">
        <v>298.5</v>
      </c>
      <c r="C8" s="4">
        <v>-28.3</v>
      </c>
      <c r="D8" s="10">
        <v>894</v>
      </c>
      <c r="E8" s="4">
        <v>2.2000000000000002</v>
      </c>
      <c r="F8" s="9">
        <v>6</v>
      </c>
      <c r="G8" s="21">
        <v>1.4108076976306307</v>
      </c>
      <c r="H8" s="21">
        <v>249.88776070251529</v>
      </c>
      <c r="I8" s="4" t="s">
        <v>277</v>
      </c>
    </row>
    <row r="9" spans="1:10">
      <c r="A9" s="4" t="s">
        <v>284</v>
      </c>
      <c r="B9" s="4">
        <v>292.3</v>
      </c>
      <c r="C9" s="4">
        <v>-29.5</v>
      </c>
      <c r="D9" s="10">
        <v>884</v>
      </c>
      <c r="E9" s="4">
        <v>2.2999999999999998</v>
      </c>
      <c r="F9" s="9">
        <v>6</v>
      </c>
      <c r="G9" s="21">
        <v>-2.0953162715254052</v>
      </c>
      <c r="H9" s="21">
        <v>254.78264010968707</v>
      </c>
      <c r="I9" s="4" t="s">
        <v>277</v>
      </c>
    </row>
    <row r="10" spans="1:10">
      <c r="A10" s="4" t="s">
        <v>285</v>
      </c>
      <c r="B10" s="4">
        <v>294.89999999999998</v>
      </c>
      <c r="C10" s="4">
        <v>-25.5</v>
      </c>
      <c r="D10" s="10">
        <v>1114</v>
      </c>
      <c r="E10" s="4">
        <v>2</v>
      </c>
      <c r="F10" s="9">
        <v>6</v>
      </c>
      <c r="G10" s="21">
        <v>1.2100268316342806</v>
      </c>
      <c r="H10" s="21">
        <v>253.74502755466966</v>
      </c>
      <c r="I10" s="4" t="s">
        <v>277</v>
      </c>
    </row>
    <row r="11" spans="1:10">
      <c r="A11" s="4" t="s">
        <v>286</v>
      </c>
      <c r="B11" s="4">
        <v>293.7</v>
      </c>
      <c r="C11" s="4">
        <v>-30.7</v>
      </c>
      <c r="D11" s="10">
        <v>1166</v>
      </c>
      <c r="E11" s="4">
        <v>2.2000000000000002</v>
      </c>
      <c r="F11" s="9">
        <v>5</v>
      </c>
      <c r="G11" s="21">
        <v>-2.08203673245076</v>
      </c>
      <c r="H11" s="21">
        <v>253.24709746253609</v>
      </c>
      <c r="I11" s="4" t="s">
        <v>277</v>
      </c>
    </row>
    <row r="12" spans="1:10">
      <c r="A12" s="4" t="s">
        <v>287</v>
      </c>
      <c r="B12" s="4">
        <v>295.60000000000002</v>
      </c>
      <c r="C12" s="4">
        <v>-26.1</v>
      </c>
      <c r="D12" s="10">
        <v>334</v>
      </c>
      <c r="E12" s="4">
        <v>3.7</v>
      </c>
      <c r="F12" s="9">
        <v>6</v>
      </c>
      <c r="G12" s="21">
        <v>1.2304948255967929</v>
      </c>
      <c r="H12" s="21">
        <v>252.98012668155795</v>
      </c>
      <c r="I12" s="4" t="s">
        <v>277</v>
      </c>
    </row>
  </sheetData>
  <phoneticPr fontId="6" type="noConversion"/>
  <pageMargins left="0.7" right="0.7" top="0.75" bottom="0.75" header="0.3" footer="0.3"/>
  <pageSetup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F2FEB4-0F1E-424C-BFA9-1E96C1B4C696}">
  <dimension ref="A1:J13"/>
  <sheetViews>
    <sheetView workbookViewId="0">
      <selection sqref="A1:A1048576"/>
    </sheetView>
  </sheetViews>
  <sheetFormatPr defaultColWidth="8.81640625" defaultRowHeight="12.5"/>
  <cols>
    <col min="1" max="8" width="8.81640625" style="4"/>
    <col min="9" max="9" width="15.6328125" style="4" bestFit="1" customWidth="1"/>
    <col min="10" max="10" width="15.81640625" style="4" customWidth="1"/>
    <col min="11" max="16384" width="8.81640625" style="4"/>
  </cols>
  <sheetData>
    <row r="1" spans="1:10">
      <c r="A1" s="62" t="s">
        <v>0</v>
      </c>
      <c r="B1" s="56" t="s">
        <v>1</v>
      </c>
      <c r="C1" s="56" t="s">
        <v>2</v>
      </c>
      <c r="D1" s="56" t="s">
        <v>3</v>
      </c>
      <c r="E1" s="56" t="s">
        <v>4</v>
      </c>
      <c r="F1" s="56" t="s">
        <v>5</v>
      </c>
      <c r="G1" s="56" t="s">
        <v>6</v>
      </c>
      <c r="H1" s="56" t="s">
        <v>7</v>
      </c>
      <c r="I1" s="4" t="s">
        <v>9</v>
      </c>
      <c r="J1" s="4" t="s">
        <v>8</v>
      </c>
    </row>
    <row r="2" spans="1:10">
      <c r="A2" s="4" t="s">
        <v>288</v>
      </c>
      <c r="B2" s="4">
        <v>302.2</v>
      </c>
      <c r="C2" s="4">
        <v>-41.7</v>
      </c>
      <c r="D2" s="4">
        <v>99</v>
      </c>
      <c r="E2" s="4">
        <v>5.2</v>
      </c>
      <c r="F2" s="27">
        <v>9</v>
      </c>
      <c r="G2" s="21">
        <v>-7.0382748062388458</v>
      </c>
      <c r="H2" s="21">
        <v>244.5737144805276</v>
      </c>
      <c r="I2" s="4" t="s">
        <v>289</v>
      </c>
    </row>
    <row r="3" spans="1:10">
      <c r="A3" s="4" t="s">
        <v>290</v>
      </c>
      <c r="B3" s="4">
        <v>126.6</v>
      </c>
      <c r="C3" s="4">
        <v>40.9</v>
      </c>
      <c r="D3" s="4">
        <v>22.8</v>
      </c>
      <c r="E3" s="4">
        <v>12.9</v>
      </c>
      <c r="F3" s="27">
        <v>7</v>
      </c>
      <c r="G3" s="21">
        <v>-4.9000000000000004</v>
      </c>
      <c r="H3" s="21">
        <v>240.8</v>
      </c>
      <c r="I3" s="4" t="s">
        <v>289</v>
      </c>
    </row>
    <row r="4" spans="1:10">
      <c r="A4" s="4" t="s">
        <v>291</v>
      </c>
      <c r="B4" s="4">
        <v>330.7</v>
      </c>
      <c r="C4" s="4">
        <v>-24.7</v>
      </c>
      <c r="D4" s="4">
        <v>396.4</v>
      </c>
      <c r="E4" s="4">
        <v>6.2</v>
      </c>
      <c r="F4" s="27">
        <v>3</v>
      </c>
      <c r="G4" s="21">
        <v>12.396190433231723</v>
      </c>
      <c r="H4" s="21">
        <v>222.1</v>
      </c>
      <c r="I4" s="4" t="s">
        <v>289</v>
      </c>
    </row>
    <row r="5" spans="1:10">
      <c r="A5" s="4" t="s">
        <v>292</v>
      </c>
      <c r="B5" s="4">
        <v>300.60000000000002</v>
      </c>
      <c r="C5" s="4">
        <v>-32</v>
      </c>
      <c r="D5" s="4">
        <v>89.1</v>
      </c>
      <c r="E5" s="4">
        <v>5.9</v>
      </c>
      <c r="F5" s="27">
        <v>8</v>
      </c>
      <c r="G5" s="21">
        <v>-1.4</v>
      </c>
      <c r="H5" s="21">
        <v>249.5</v>
      </c>
      <c r="I5" s="4" t="s">
        <v>289</v>
      </c>
    </row>
    <row r="6" spans="1:10">
      <c r="A6" s="4" t="s">
        <v>293</v>
      </c>
      <c r="B6" s="4">
        <v>142.19999999999999</v>
      </c>
      <c r="C6" s="4">
        <v>36.9</v>
      </c>
      <c r="D6" s="4">
        <v>69.900000000000006</v>
      </c>
      <c r="E6" s="4">
        <v>6.2</v>
      </c>
      <c r="F6" s="27">
        <v>9</v>
      </c>
      <c r="G6" s="21">
        <v>3.1</v>
      </c>
      <c r="H6" s="21">
        <v>228.7</v>
      </c>
      <c r="I6" s="4" t="s">
        <v>289</v>
      </c>
    </row>
    <row r="7" spans="1:10">
      <c r="A7" s="4" t="s">
        <v>294</v>
      </c>
      <c r="B7" s="4">
        <v>128.69999999999999</v>
      </c>
      <c r="C7" s="4">
        <v>37.9</v>
      </c>
      <c r="D7" s="4">
        <v>295.5</v>
      </c>
      <c r="E7" s="4">
        <v>3</v>
      </c>
      <c r="F7" s="27">
        <v>9</v>
      </c>
      <c r="G7" s="21">
        <v>-1.7</v>
      </c>
      <c r="H7" s="21">
        <v>242.3</v>
      </c>
      <c r="I7" s="4" t="s">
        <v>289</v>
      </c>
    </row>
    <row r="8" spans="1:10">
      <c r="A8" s="4" t="s">
        <v>295</v>
      </c>
      <c r="B8" s="4">
        <v>311.2</v>
      </c>
      <c r="C8" s="4">
        <v>-43.3</v>
      </c>
      <c r="D8" s="4">
        <v>53.9</v>
      </c>
      <c r="E8" s="4">
        <v>5.7</v>
      </c>
      <c r="F8" s="27">
        <v>13</v>
      </c>
      <c r="G8" s="21">
        <v>-3.4</v>
      </c>
      <c r="H8" s="21">
        <v>239</v>
      </c>
      <c r="I8" s="4" t="s">
        <v>289</v>
      </c>
    </row>
    <row r="9" spans="1:10">
      <c r="A9" s="4" t="s">
        <v>296</v>
      </c>
      <c r="B9" s="4">
        <v>313.3</v>
      </c>
      <c r="C9" s="4">
        <v>-40.700000000000003</v>
      </c>
      <c r="D9" s="4">
        <v>29.8</v>
      </c>
      <c r="E9" s="4">
        <v>7.4</v>
      </c>
      <c r="F9" s="27">
        <v>14</v>
      </c>
      <c r="G9" s="21">
        <v>-0.5</v>
      </c>
      <c r="H9" s="21">
        <v>238.3</v>
      </c>
      <c r="I9" s="4" t="s">
        <v>289</v>
      </c>
    </row>
    <row r="10" spans="1:10">
      <c r="A10" s="4" t="s">
        <v>297</v>
      </c>
      <c r="B10" s="4">
        <v>300.89999999999998</v>
      </c>
      <c r="C10" s="4">
        <v>-26.5</v>
      </c>
      <c r="D10" s="4">
        <v>34.9</v>
      </c>
      <c r="E10" s="4">
        <v>11.5</v>
      </c>
      <c r="F10" s="27">
        <v>6</v>
      </c>
      <c r="G10" s="21">
        <v>3.2</v>
      </c>
      <c r="H10" s="21">
        <v>248.5</v>
      </c>
      <c r="I10" s="4" t="s">
        <v>289</v>
      </c>
    </row>
    <row r="11" spans="1:10">
      <c r="A11" s="4" t="s">
        <v>298</v>
      </c>
      <c r="B11" s="4">
        <v>122.2</v>
      </c>
      <c r="C11" s="4">
        <v>53.7</v>
      </c>
      <c r="D11" s="4">
        <v>90.4</v>
      </c>
      <c r="E11" s="4">
        <v>3.2</v>
      </c>
      <c r="F11" s="27">
        <v>23</v>
      </c>
      <c r="G11" s="21">
        <v>-14</v>
      </c>
      <c r="H11" s="21">
        <v>237.9</v>
      </c>
      <c r="I11" s="4" t="s">
        <v>289</v>
      </c>
    </row>
    <row r="12" spans="1:10">
      <c r="A12" s="4" t="s">
        <v>299</v>
      </c>
      <c r="B12" s="4">
        <v>124.5</v>
      </c>
      <c r="C12" s="4">
        <v>54.6</v>
      </c>
      <c r="D12" s="4">
        <v>278.60000000000002</v>
      </c>
      <c r="E12" s="4">
        <v>7.4</v>
      </c>
      <c r="F12" s="27">
        <v>3</v>
      </c>
      <c r="G12" s="21">
        <v>-13.9</v>
      </c>
      <c r="H12" s="21">
        <v>235.8</v>
      </c>
      <c r="I12" s="4" t="s">
        <v>289</v>
      </c>
    </row>
    <row r="13" spans="1:10">
      <c r="A13" s="4" t="s">
        <v>300</v>
      </c>
      <c r="B13" s="4">
        <v>118.8</v>
      </c>
      <c r="C13" s="4">
        <v>37.1</v>
      </c>
      <c r="D13" s="4">
        <v>15.2</v>
      </c>
      <c r="E13" s="4">
        <v>11.5</v>
      </c>
      <c r="F13" s="27">
        <v>12</v>
      </c>
      <c r="G13" s="21">
        <v>-3.3</v>
      </c>
      <c r="H13" s="21">
        <v>246.9</v>
      </c>
      <c r="I13" s="4" t="s">
        <v>289</v>
      </c>
    </row>
  </sheetData>
  <phoneticPr fontId="9" type="noConversion"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F6720B-0852-451D-ABC0-DB90138B8B7E}">
  <dimension ref="A1:J11"/>
  <sheetViews>
    <sheetView workbookViewId="0">
      <selection sqref="A1:A1048576"/>
    </sheetView>
  </sheetViews>
  <sheetFormatPr defaultColWidth="8.81640625" defaultRowHeight="12.5"/>
  <cols>
    <col min="1" max="8" width="8.81640625" style="4"/>
    <col min="9" max="9" width="23.08984375" style="4" bestFit="1" customWidth="1"/>
    <col min="10" max="10" width="15.81640625" style="4" customWidth="1"/>
    <col min="11" max="16384" width="8.81640625" style="4"/>
  </cols>
  <sheetData>
    <row r="1" spans="1:10">
      <c r="A1" s="62" t="s">
        <v>0</v>
      </c>
      <c r="B1" s="56" t="s">
        <v>1</v>
      </c>
      <c r="C1" s="56" t="s">
        <v>2</v>
      </c>
      <c r="D1" s="56" t="s">
        <v>3</v>
      </c>
      <c r="E1" s="56" t="s">
        <v>4</v>
      </c>
      <c r="F1" s="56" t="s">
        <v>5</v>
      </c>
      <c r="G1" s="56" t="s">
        <v>6</v>
      </c>
      <c r="H1" s="56" t="s">
        <v>7</v>
      </c>
      <c r="I1" s="4" t="s">
        <v>9</v>
      </c>
      <c r="J1" s="4" t="s">
        <v>8</v>
      </c>
    </row>
    <row r="2" spans="1:10" s="11" customFormat="1">
      <c r="A2" s="11" t="s">
        <v>301</v>
      </c>
      <c r="B2" s="11">
        <v>311.2</v>
      </c>
      <c r="C2" s="11">
        <v>-43.3</v>
      </c>
      <c r="D2" s="11">
        <v>73</v>
      </c>
      <c r="E2" s="11">
        <v>4.0999999999999996</v>
      </c>
      <c r="F2" s="36">
        <v>18</v>
      </c>
      <c r="G2" s="11">
        <v>3</v>
      </c>
      <c r="H2" s="11">
        <v>239.3</v>
      </c>
      <c r="I2" s="11" t="s">
        <v>302</v>
      </c>
    </row>
    <row r="3" spans="1:10" s="11" customFormat="1">
      <c r="A3" s="11" t="s">
        <v>303</v>
      </c>
      <c r="B3" s="11">
        <v>313.3</v>
      </c>
      <c r="C3" s="11">
        <v>-40.700000000000003</v>
      </c>
      <c r="D3" s="11">
        <v>29.5</v>
      </c>
      <c r="E3" s="11">
        <v>7.4</v>
      </c>
      <c r="F3" s="36">
        <v>14</v>
      </c>
      <c r="G3" s="11">
        <v>0.5</v>
      </c>
      <c r="H3" s="11">
        <v>238.3</v>
      </c>
      <c r="I3" s="11" t="s">
        <v>302</v>
      </c>
    </row>
    <row r="4" spans="1:10" s="11" customFormat="1">
      <c r="A4" s="11" t="s">
        <v>304</v>
      </c>
      <c r="B4" s="11">
        <v>128.69999999999999</v>
      </c>
      <c r="C4" s="11">
        <v>37.9</v>
      </c>
      <c r="D4" s="11">
        <v>290</v>
      </c>
      <c r="E4" s="11">
        <v>3</v>
      </c>
      <c r="F4" s="36">
        <v>19</v>
      </c>
      <c r="G4" s="11">
        <v>1.7</v>
      </c>
      <c r="H4" s="11">
        <v>242.3</v>
      </c>
      <c r="I4" s="11" t="s">
        <v>302</v>
      </c>
    </row>
    <row r="5" spans="1:10" s="40" customFormat="1">
      <c r="A5" s="40" t="s">
        <v>305</v>
      </c>
      <c r="B5" s="40">
        <v>143</v>
      </c>
      <c r="C5" s="40">
        <v>42</v>
      </c>
      <c r="D5" s="40">
        <v>39</v>
      </c>
      <c r="E5" s="40">
        <v>9</v>
      </c>
      <c r="F5" s="41">
        <v>7</v>
      </c>
      <c r="G5" s="40">
        <v>0.1</v>
      </c>
      <c r="H5" s="40">
        <v>48.7</v>
      </c>
      <c r="I5" s="11" t="s">
        <v>306</v>
      </c>
    </row>
    <row r="6" spans="1:10" s="40" customFormat="1">
      <c r="A6" s="40" t="s">
        <v>307</v>
      </c>
      <c r="B6" s="40">
        <v>136</v>
      </c>
      <c r="C6" s="40">
        <v>48</v>
      </c>
      <c r="D6" s="40">
        <v>45</v>
      </c>
      <c r="E6" s="40">
        <v>12</v>
      </c>
      <c r="F6" s="41">
        <v>5</v>
      </c>
      <c r="G6" s="40">
        <v>6.5</v>
      </c>
      <c r="H6" s="40">
        <v>52.2</v>
      </c>
      <c r="I6" s="11" t="s">
        <v>306</v>
      </c>
    </row>
    <row r="7" spans="1:10" s="11" customFormat="1">
      <c r="A7" s="11" t="s">
        <v>308</v>
      </c>
      <c r="B7" s="11">
        <v>128</v>
      </c>
      <c r="C7" s="11">
        <v>24</v>
      </c>
      <c r="D7" s="11">
        <v>45</v>
      </c>
      <c r="E7" s="11">
        <v>9</v>
      </c>
      <c r="F7" s="36">
        <v>8</v>
      </c>
      <c r="G7" s="11">
        <v>-6</v>
      </c>
      <c r="H7" s="11">
        <v>65.599999999999994</v>
      </c>
      <c r="I7" s="11" t="s">
        <v>309</v>
      </c>
    </row>
    <row r="8" spans="1:10" s="40" customFormat="1">
      <c r="A8" s="40" t="s">
        <v>310</v>
      </c>
      <c r="B8" s="40">
        <v>122.2</v>
      </c>
      <c r="C8" s="40">
        <v>53.7</v>
      </c>
      <c r="D8" s="40">
        <v>91.2</v>
      </c>
      <c r="E8" s="40">
        <v>3.2</v>
      </c>
      <c r="F8" s="41">
        <v>23</v>
      </c>
      <c r="G8" s="45">
        <v>-14</v>
      </c>
      <c r="H8" s="45">
        <v>237.90610394280094</v>
      </c>
      <c r="I8" s="40" t="s">
        <v>311</v>
      </c>
    </row>
    <row r="9" spans="1:10" s="40" customFormat="1">
      <c r="A9" s="40" t="s">
        <v>312</v>
      </c>
      <c r="B9" s="40">
        <v>124.5</v>
      </c>
      <c r="C9" s="40">
        <v>54.6</v>
      </c>
      <c r="D9" s="40">
        <v>281</v>
      </c>
      <c r="E9" s="40">
        <v>7.4</v>
      </c>
      <c r="F9" s="41">
        <v>3</v>
      </c>
      <c r="G9" s="45">
        <v>-13.9</v>
      </c>
      <c r="H9" s="45">
        <v>235.75617616826369</v>
      </c>
      <c r="I9" s="40" t="s">
        <v>311</v>
      </c>
    </row>
    <row r="10" spans="1:10" s="40" customFormat="1">
      <c r="A10" s="40" t="s">
        <v>313</v>
      </c>
      <c r="B10" s="40">
        <v>118.8</v>
      </c>
      <c r="C10" s="40">
        <v>37.1</v>
      </c>
      <c r="D10" s="40">
        <v>15.2</v>
      </c>
      <c r="E10" s="40">
        <v>11.5</v>
      </c>
      <c r="F10" s="41">
        <v>12</v>
      </c>
      <c r="G10" s="45">
        <v>-3.3356875355503917</v>
      </c>
      <c r="H10" s="45">
        <v>246.89018127206194</v>
      </c>
      <c r="I10" s="40" t="s">
        <v>311</v>
      </c>
    </row>
    <row r="11" spans="1:10" s="40" customFormat="1">
      <c r="A11" s="40" t="s">
        <v>314</v>
      </c>
      <c r="B11" s="40">
        <v>300.89999999999998</v>
      </c>
      <c r="C11" s="40">
        <v>-26.5</v>
      </c>
      <c r="D11" s="40">
        <v>34.700000000000003</v>
      </c>
      <c r="E11" s="40">
        <v>11.5</v>
      </c>
      <c r="F11" s="41">
        <v>6</v>
      </c>
      <c r="G11" s="45">
        <v>3.2</v>
      </c>
      <c r="H11" s="45">
        <v>248.5</v>
      </c>
      <c r="I11" s="40" t="s">
        <v>311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12CEE3-6FB9-4B5E-9AC3-D346F1249005}">
  <dimension ref="A1:J5"/>
  <sheetViews>
    <sheetView workbookViewId="0">
      <selection sqref="A1:A1048576"/>
    </sheetView>
  </sheetViews>
  <sheetFormatPr defaultColWidth="8.81640625" defaultRowHeight="12.5"/>
  <cols>
    <col min="1" max="8" width="8.81640625" style="4"/>
    <col min="9" max="9" width="15.6328125" style="4" bestFit="1" customWidth="1"/>
    <col min="10" max="10" width="15.81640625" style="4" customWidth="1"/>
    <col min="11" max="16384" width="8.81640625" style="4"/>
  </cols>
  <sheetData>
    <row r="1" spans="1:10">
      <c r="A1" s="62" t="s">
        <v>0</v>
      </c>
      <c r="B1" s="56" t="s">
        <v>1</v>
      </c>
      <c r="C1" s="56" t="s">
        <v>2</v>
      </c>
      <c r="D1" s="56" t="s">
        <v>3</v>
      </c>
      <c r="E1" s="56" t="s">
        <v>4</v>
      </c>
      <c r="F1" s="56" t="s">
        <v>5</v>
      </c>
      <c r="G1" s="56" t="s">
        <v>6</v>
      </c>
      <c r="H1" s="56" t="s">
        <v>7</v>
      </c>
      <c r="I1" s="4" t="s">
        <v>9</v>
      </c>
      <c r="J1" s="4" t="s">
        <v>8</v>
      </c>
    </row>
    <row r="2" spans="1:10" ht="13.5">
      <c r="A2" s="4" t="s">
        <v>315</v>
      </c>
      <c r="B2" s="4">
        <v>140.6</v>
      </c>
      <c r="C2" s="4">
        <v>66.099999999999994</v>
      </c>
      <c r="D2" s="4">
        <v>584.4</v>
      </c>
      <c r="E2" s="4">
        <v>2</v>
      </c>
      <c r="F2" s="4">
        <v>10</v>
      </c>
      <c r="G2" s="4">
        <v>-24.5</v>
      </c>
      <c r="H2" s="4">
        <v>220.8</v>
      </c>
      <c r="I2" s="4" t="s">
        <v>289</v>
      </c>
      <c r="J2" s="13"/>
    </row>
    <row r="3" spans="1:10">
      <c r="A3" s="4" t="s">
        <v>316</v>
      </c>
      <c r="B3" s="4">
        <v>296.5</v>
      </c>
      <c r="C3" s="4">
        <v>-66.5</v>
      </c>
      <c r="D3" s="4">
        <v>123.7</v>
      </c>
      <c r="E3" s="4">
        <v>5</v>
      </c>
      <c r="F3" s="4">
        <v>8</v>
      </c>
      <c r="G3" s="4">
        <v>-32.1</v>
      </c>
      <c r="H3" s="4">
        <v>236.3</v>
      </c>
      <c r="I3" s="4" t="s">
        <v>289</v>
      </c>
    </row>
    <row r="4" spans="1:10">
      <c r="A4" s="4" t="s">
        <v>317</v>
      </c>
      <c r="B4" s="4">
        <v>142.1</v>
      </c>
      <c r="C4" s="4">
        <v>58.7</v>
      </c>
      <c r="D4" s="4">
        <v>663.7</v>
      </c>
      <c r="E4" s="4">
        <v>2</v>
      </c>
      <c r="F4" s="4">
        <v>9</v>
      </c>
      <c r="G4" s="4">
        <v>-15.3</v>
      </c>
      <c r="H4" s="4">
        <v>223.2</v>
      </c>
      <c r="I4" s="4" t="s">
        <v>289</v>
      </c>
    </row>
    <row r="5" spans="1:10">
      <c r="A5" s="4" t="s">
        <v>318</v>
      </c>
      <c r="B5" s="4">
        <v>106</v>
      </c>
      <c r="C5" s="4">
        <v>67</v>
      </c>
      <c r="D5" s="4">
        <v>39.4</v>
      </c>
      <c r="E5" s="4">
        <v>8.3000000000000007</v>
      </c>
      <c r="F5" s="4">
        <v>9</v>
      </c>
      <c r="G5" s="4">
        <v>-35</v>
      </c>
      <c r="H5" s="4">
        <v>243.7</v>
      </c>
      <c r="I5" s="4" t="s">
        <v>289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43E945-CCA2-4DB4-861E-A5B769632E80}">
  <dimension ref="A1:J24"/>
  <sheetViews>
    <sheetView workbookViewId="0">
      <selection sqref="A1:A1048576"/>
    </sheetView>
  </sheetViews>
  <sheetFormatPr defaultColWidth="8.81640625" defaultRowHeight="12.5"/>
  <cols>
    <col min="1" max="8" width="8.81640625" style="4"/>
    <col min="9" max="9" width="17.54296875" style="4" bestFit="1" customWidth="1"/>
    <col min="10" max="10" width="15.81640625" style="4" customWidth="1"/>
    <col min="11" max="16384" width="8.81640625" style="4"/>
  </cols>
  <sheetData>
    <row r="1" spans="1:10">
      <c r="A1" s="62" t="s">
        <v>0</v>
      </c>
      <c r="B1" s="56" t="s">
        <v>1</v>
      </c>
      <c r="C1" s="56" t="s">
        <v>2</v>
      </c>
      <c r="D1" s="56" t="s">
        <v>3</v>
      </c>
      <c r="E1" s="56" t="s">
        <v>4</v>
      </c>
      <c r="F1" s="56" t="s">
        <v>5</v>
      </c>
      <c r="G1" s="56" t="s">
        <v>6</v>
      </c>
      <c r="H1" s="56" t="s">
        <v>7</v>
      </c>
      <c r="I1" s="4" t="s">
        <v>9</v>
      </c>
      <c r="J1" s="4" t="s">
        <v>8</v>
      </c>
    </row>
    <row r="2" spans="1:10">
      <c r="A2" s="4" t="s">
        <v>319</v>
      </c>
      <c r="B2" s="4">
        <v>306.3</v>
      </c>
      <c r="C2" s="4">
        <v>-70.7</v>
      </c>
      <c r="D2" s="4">
        <v>27.6</v>
      </c>
      <c r="E2" s="4">
        <v>10.7</v>
      </c>
      <c r="F2" s="4">
        <v>8</v>
      </c>
      <c r="G2" s="21">
        <v>-32.1129825181212</v>
      </c>
      <c r="H2" s="21">
        <v>221.32129705821799</v>
      </c>
      <c r="I2" s="4" t="s">
        <v>149</v>
      </c>
    </row>
    <row r="3" spans="1:10">
      <c r="A3" s="4" t="s">
        <v>320</v>
      </c>
      <c r="B3" s="4">
        <v>337</v>
      </c>
      <c r="C3" s="4">
        <v>-62.3</v>
      </c>
      <c r="D3" s="4">
        <v>88.6</v>
      </c>
      <c r="E3" s="4">
        <v>5.9</v>
      </c>
      <c r="F3" s="4">
        <v>8</v>
      </c>
      <c r="G3" s="21">
        <v>-14.689539455307127</v>
      </c>
      <c r="H3" s="21">
        <v>205.24611267629538</v>
      </c>
      <c r="I3" s="4" t="s">
        <v>149</v>
      </c>
    </row>
    <row r="4" spans="1:10">
      <c r="A4" s="4" t="s">
        <v>321</v>
      </c>
      <c r="B4" s="4">
        <v>112.9</v>
      </c>
      <c r="C4" s="4">
        <v>59.6</v>
      </c>
      <c r="D4" s="4">
        <v>59.9</v>
      </c>
      <c r="E4" s="4">
        <v>8.6999999999999993</v>
      </c>
      <c r="F4" s="4">
        <v>6</v>
      </c>
      <c r="G4" s="21">
        <v>-24.084115278887907</v>
      </c>
      <c r="H4" s="21">
        <v>238.52287682780769</v>
      </c>
      <c r="I4" s="4" t="s">
        <v>149</v>
      </c>
    </row>
    <row r="5" spans="1:10">
      <c r="A5" s="4" t="s">
        <v>322</v>
      </c>
      <c r="B5" s="4">
        <v>137.19999999999999</v>
      </c>
      <c r="C5" s="4">
        <v>71.400000000000006</v>
      </c>
      <c r="D5" s="4">
        <v>32</v>
      </c>
      <c r="E5" s="4">
        <v>10.8</v>
      </c>
      <c r="F5" s="4">
        <v>7</v>
      </c>
      <c r="G5" s="21">
        <v>-30.410981345832852</v>
      </c>
      <c r="H5" s="21">
        <v>214.4</v>
      </c>
      <c r="I5" s="4" t="s">
        <v>149</v>
      </c>
    </row>
    <row r="6" spans="1:10">
      <c r="A6" s="4" t="s">
        <v>323</v>
      </c>
      <c r="B6" s="4">
        <v>318.39999999999998</v>
      </c>
      <c r="C6" s="4">
        <v>-61</v>
      </c>
      <c r="D6" s="4">
        <v>20.9</v>
      </c>
      <c r="E6" s="4">
        <v>15</v>
      </c>
      <c r="F6" s="4">
        <v>6</v>
      </c>
      <c r="G6" s="21">
        <v>-17.171579480324496</v>
      </c>
      <c r="H6" s="21">
        <v>219.2</v>
      </c>
      <c r="I6" s="4" t="s">
        <v>149</v>
      </c>
    </row>
    <row r="7" spans="1:10">
      <c r="A7" s="4" t="s">
        <v>324</v>
      </c>
      <c r="B7" s="4">
        <v>125</v>
      </c>
      <c r="C7" s="4">
        <v>49.5</v>
      </c>
      <c r="D7" s="4">
        <v>55</v>
      </c>
      <c r="E7" s="4">
        <v>9.1</v>
      </c>
      <c r="F7" s="4">
        <v>6</v>
      </c>
      <c r="G7" s="21">
        <v>-10.554130182446741</v>
      </c>
      <c r="H7" s="21">
        <v>234.02916966997435</v>
      </c>
      <c r="I7" s="4" t="s">
        <v>149</v>
      </c>
    </row>
    <row r="8" spans="1:10">
      <c r="A8" s="4" t="s">
        <v>325</v>
      </c>
      <c r="B8" s="4">
        <v>315.2</v>
      </c>
      <c r="C8" s="4">
        <v>-40.6</v>
      </c>
      <c r="D8" s="4">
        <v>132.4</v>
      </c>
      <c r="E8" s="4">
        <v>6.7</v>
      </c>
      <c r="F8" s="4">
        <v>5</v>
      </c>
      <c r="G8" s="21">
        <v>-0.63030571620527098</v>
      </c>
      <c r="H8" s="21">
        <v>228.41877782270981</v>
      </c>
      <c r="I8" s="4" t="s">
        <v>149</v>
      </c>
    </row>
    <row r="9" spans="1:10">
      <c r="A9" s="4" t="s">
        <v>326</v>
      </c>
      <c r="B9" s="4">
        <v>313.5</v>
      </c>
      <c r="C9" s="4">
        <v>-52.2</v>
      </c>
      <c r="D9" s="4">
        <v>59.1</v>
      </c>
      <c r="E9" s="4">
        <v>12</v>
      </c>
      <c r="F9" s="4">
        <v>4</v>
      </c>
      <c r="G9" s="21">
        <v>-9.8382347924370492</v>
      </c>
      <c r="H9" s="21">
        <v>226.59956434563298</v>
      </c>
      <c r="I9" s="4" t="s">
        <v>149</v>
      </c>
    </row>
    <row r="10" spans="1:10">
      <c r="A10" s="4" t="s">
        <v>327</v>
      </c>
      <c r="B10" s="4">
        <v>138.5</v>
      </c>
      <c r="C10" s="4">
        <v>48.4</v>
      </c>
      <c r="D10" s="4">
        <v>96</v>
      </c>
      <c r="E10" s="4">
        <v>5.7</v>
      </c>
      <c r="F10" s="4">
        <v>8</v>
      </c>
      <c r="G10" s="21">
        <v>-5.0999999999999996</v>
      </c>
      <c r="H10" s="21">
        <v>223.52884160686102</v>
      </c>
      <c r="I10" s="4" t="s">
        <v>149</v>
      </c>
    </row>
    <row r="11" spans="1:10">
      <c r="A11" s="4" t="s">
        <v>328</v>
      </c>
      <c r="B11" s="4">
        <v>142.4</v>
      </c>
      <c r="C11" s="4">
        <v>63.4</v>
      </c>
      <c r="D11" s="4">
        <v>101.4</v>
      </c>
      <c r="E11" s="4">
        <v>5.5</v>
      </c>
      <c r="F11" s="4">
        <v>8</v>
      </c>
      <c r="G11" s="21">
        <v>-18.79245586172334</v>
      </c>
      <c r="H11" s="21">
        <v>215.35239862577203</v>
      </c>
      <c r="I11" s="4" t="s">
        <v>149</v>
      </c>
    </row>
    <row r="12" spans="1:10">
      <c r="A12" s="4" t="s">
        <v>329</v>
      </c>
      <c r="B12" s="4">
        <v>119.6</v>
      </c>
      <c r="C12" s="4">
        <v>49.4</v>
      </c>
      <c r="D12" s="4">
        <v>43</v>
      </c>
      <c r="E12" s="4">
        <v>8.5</v>
      </c>
      <c r="F12" s="4">
        <v>8</v>
      </c>
      <c r="G12" s="21">
        <v>-12.477450741314001</v>
      </c>
      <c r="H12" s="21">
        <v>238.5000498932456</v>
      </c>
      <c r="I12" s="4" t="s">
        <v>149</v>
      </c>
    </row>
    <row r="13" spans="1:10">
      <c r="A13" s="4" t="s">
        <v>330</v>
      </c>
      <c r="B13" s="4">
        <v>106.4</v>
      </c>
      <c r="C13" s="4">
        <v>54.3</v>
      </c>
      <c r="D13" s="4">
        <v>424.4</v>
      </c>
      <c r="E13" s="4">
        <v>2.7</v>
      </c>
      <c r="F13" s="4">
        <v>8</v>
      </c>
      <c r="G13" s="21">
        <v>-21.952336883508607</v>
      </c>
      <c r="H13" s="21">
        <v>246.07996972485128</v>
      </c>
      <c r="I13" s="4" t="s">
        <v>149</v>
      </c>
    </row>
    <row r="14" spans="1:10">
      <c r="A14" s="4" t="s">
        <v>331</v>
      </c>
      <c r="B14" s="4">
        <v>119</v>
      </c>
      <c r="C14" s="4">
        <v>53.8</v>
      </c>
      <c r="D14" s="4">
        <v>26.3</v>
      </c>
      <c r="E14" s="4">
        <v>12</v>
      </c>
      <c r="F14" s="4">
        <v>7</v>
      </c>
      <c r="G14" s="21">
        <v>-16.378720649244073</v>
      </c>
      <c r="H14" s="21">
        <v>236.80232103938332</v>
      </c>
      <c r="I14" s="4" t="s">
        <v>149</v>
      </c>
    </row>
    <row r="15" spans="1:10">
      <c r="A15" s="4" t="s">
        <v>332</v>
      </c>
      <c r="B15" s="4">
        <v>96.2</v>
      </c>
      <c r="C15" s="4">
        <v>45.1</v>
      </c>
      <c r="D15" s="4">
        <v>83.3</v>
      </c>
      <c r="E15" s="4">
        <v>5.7</v>
      </c>
      <c r="F15" s="4">
        <v>9</v>
      </c>
      <c r="G15" s="21">
        <v>-19.693116842983557</v>
      </c>
      <c r="H15" s="21">
        <v>258.66827758800218</v>
      </c>
      <c r="I15" s="4" t="s">
        <v>149</v>
      </c>
    </row>
    <row r="16" spans="1:10">
      <c r="A16" s="4" t="s">
        <v>333</v>
      </c>
      <c r="B16" s="4">
        <v>100.4</v>
      </c>
      <c r="C16" s="4">
        <v>42.9</v>
      </c>
      <c r="D16" s="4">
        <v>117.2</v>
      </c>
      <c r="E16" s="4">
        <v>5.0999999999999996</v>
      </c>
      <c r="F16" s="4">
        <v>8</v>
      </c>
      <c r="G16" s="21">
        <v>-16.226758824556214</v>
      </c>
      <c r="H16" s="21">
        <v>256.24439721782375</v>
      </c>
      <c r="I16" s="4" t="s">
        <v>149</v>
      </c>
    </row>
    <row r="17" spans="1:9">
      <c r="A17" s="4" t="s">
        <v>334</v>
      </c>
      <c r="B17" s="4">
        <v>122.5</v>
      </c>
      <c r="C17" s="4">
        <v>58.9</v>
      </c>
      <c r="D17" s="4">
        <v>93.8</v>
      </c>
      <c r="E17" s="4">
        <v>6.3</v>
      </c>
      <c r="F17" s="4">
        <v>7</v>
      </c>
      <c r="G17" s="21">
        <v>-19.779896106240813</v>
      </c>
      <c r="H17" s="21">
        <v>231.47614665069275</v>
      </c>
      <c r="I17" s="4" t="s">
        <v>149</v>
      </c>
    </row>
    <row r="18" spans="1:9">
      <c r="A18" s="4" t="s">
        <v>335</v>
      </c>
      <c r="B18" s="4">
        <v>168.6</v>
      </c>
      <c r="C18" s="4">
        <v>52.8</v>
      </c>
      <c r="D18" s="4">
        <v>36.700000000000003</v>
      </c>
      <c r="E18" s="4">
        <v>9.3000000000000007</v>
      </c>
      <c r="F18" s="4">
        <v>8</v>
      </c>
      <c r="G18" s="21">
        <v>-3.2304568845728312</v>
      </c>
      <c r="H18" s="21">
        <v>197.35817445537404</v>
      </c>
      <c r="I18" s="4" t="s">
        <v>149</v>
      </c>
    </row>
    <row r="19" spans="1:9">
      <c r="A19" s="4" t="s">
        <v>336</v>
      </c>
      <c r="B19" s="4">
        <v>112.4</v>
      </c>
      <c r="C19" s="4">
        <v>54.7</v>
      </c>
      <c r="D19" s="4">
        <v>89.2</v>
      </c>
      <c r="E19" s="4">
        <v>6.4</v>
      </c>
      <c r="F19" s="4">
        <v>7</v>
      </c>
      <c r="G19" s="21">
        <v>-19.74373670500087</v>
      </c>
      <c r="H19" s="21">
        <v>241.20196938688619</v>
      </c>
      <c r="I19" s="4" t="s">
        <v>149</v>
      </c>
    </row>
    <row r="20" spans="1:9">
      <c r="A20" s="4" t="s">
        <v>337</v>
      </c>
      <c r="B20" s="4">
        <v>101.8</v>
      </c>
      <c r="C20" s="4">
        <v>51.7</v>
      </c>
      <c r="D20" s="4">
        <v>33.6</v>
      </c>
      <c r="E20" s="4">
        <v>9.6999999999999993</v>
      </c>
      <c r="F20" s="4">
        <v>8</v>
      </c>
      <c r="G20" s="21">
        <v>-21.85692119603128</v>
      </c>
      <c r="H20" s="21">
        <v>250.85545859046277</v>
      </c>
      <c r="I20" s="4" t="s">
        <v>149</v>
      </c>
    </row>
    <row r="21" spans="1:9">
      <c r="A21" s="4" t="s">
        <v>338</v>
      </c>
      <c r="B21" s="4">
        <v>287</v>
      </c>
      <c r="C21" s="4">
        <v>-61.2</v>
      </c>
      <c r="D21" s="4">
        <v>167.3</v>
      </c>
      <c r="E21" s="4">
        <v>7.1</v>
      </c>
      <c r="F21" s="4">
        <v>4</v>
      </c>
      <c r="G21" s="21">
        <v>-27.942442537585421</v>
      </c>
      <c r="H21" s="21">
        <v>241.41911863584571</v>
      </c>
      <c r="I21" s="4" t="s">
        <v>149</v>
      </c>
    </row>
    <row r="22" spans="1:9">
      <c r="A22" s="4" t="s">
        <v>339</v>
      </c>
      <c r="B22" s="4">
        <v>326.8</v>
      </c>
      <c r="C22" s="4">
        <v>-58.9</v>
      </c>
      <c r="D22" s="4">
        <v>59</v>
      </c>
      <c r="E22" s="4">
        <v>6.8</v>
      </c>
      <c r="F22" s="4">
        <v>9</v>
      </c>
      <c r="G22" s="21">
        <v>-12.743533080177343</v>
      </c>
      <c r="H22" s="21">
        <v>213.82869914163575</v>
      </c>
      <c r="I22" s="4" t="s">
        <v>149</v>
      </c>
    </row>
    <row r="23" spans="1:9">
      <c r="A23" s="4" t="s">
        <v>340</v>
      </c>
      <c r="B23" s="4">
        <v>127.7</v>
      </c>
      <c r="C23" s="4">
        <v>50.1</v>
      </c>
      <c r="D23" s="4">
        <v>724.9</v>
      </c>
      <c r="E23" s="4">
        <v>2.6</v>
      </c>
      <c r="F23" s="4">
        <v>4</v>
      </c>
      <c r="G23" s="21">
        <v>-10.119976469732819</v>
      </c>
      <c r="H23" s="21">
        <v>231.87435597288689</v>
      </c>
      <c r="I23" s="4" t="s">
        <v>149</v>
      </c>
    </row>
    <row r="24" spans="1:9">
      <c r="A24" s="4" t="s">
        <v>341</v>
      </c>
      <c r="B24" s="4">
        <v>319.89999999999998</v>
      </c>
      <c r="C24" s="4">
        <v>-65.8</v>
      </c>
      <c r="D24" s="4">
        <v>17</v>
      </c>
      <c r="E24" s="4">
        <v>12.8</v>
      </c>
      <c r="F24" s="4">
        <v>9</v>
      </c>
      <c r="G24" s="21">
        <v>-22.404789319734689</v>
      </c>
      <c r="H24" s="21">
        <v>216.01843918167611</v>
      </c>
      <c r="I24" s="4" t="s">
        <v>149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3B128C-8FEF-4046-AD10-775B782AE055}">
  <dimension ref="A1:J8"/>
  <sheetViews>
    <sheetView workbookViewId="0">
      <selection sqref="A1:A1048576"/>
    </sheetView>
  </sheetViews>
  <sheetFormatPr defaultColWidth="8.81640625" defaultRowHeight="12.5"/>
  <cols>
    <col min="1" max="8" width="8.81640625" style="4"/>
    <col min="9" max="9" width="18.90625" style="4" bestFit="1" customWidth="1"/>
    <col min="10" max="10" width="15.81640625" style="4" customWidth="1"/>
    <col min="11" max="16384" width="8.81640625" style="4"/>
  </cols>
  <sheetData>
    <row r="1" spans="1:10">
      <c r="A1" s="62" t="s">
        <v>0</v>
      </c>
      <c r="B1" s="56" t="s">
        <v>1</v>
      </c>
      <c r="C1" s="56" t="s">
        <v>2</v>
      </c>
      <c r="D1" s="56" t="s">
        <v>3</v>
      </c>
      <c r="E1" s="56" t="s">
        <v>4</v>
      </c>
      <c r="F1" s="56" t="s">
        <v>5</v>
      </c>
      <c r="G1" s="56" t="s">
        <v>6</v>
      </c>
      <c r="H1" s="56" t="s">
        <v>7</v>
      </c>
      <c r="I1" s="4" t="s">
        <v>9</v>
      </c>
      <c r="J1" s="4" t="s">
        <v>8</v>
      </c>
    </row>
    <row r="2" spans="1:10">
      <c r="A2" s="4" t="s">
        <v>342</v>
      </c>
      <c r="B2" s="4">
        <v>357.3</v>
      </c>
      <c r="C2" s="4">
        <v>-52.5</v>
      </c>
      <c r="D2" s="4">
        <v>36.299999999999997</v>
      </c>
      <c r="E2" s="4">
        <v>8.6999999999999993</v>
      </c>
      <c r="F2" s="4">
        <v>9</v>
      </c>
      <c r="G2" s="21">
        <v>-11.608713953291868</v>
      </c>
      <c r="H2" s="21">
        <v>210.4</v>
      </c>
      <c r="I2" s="4" t="s">
        <v>343</v>
      </c>
    </row>
    <row r="3" spans="1:10">
      <c r="A3" s="4" t="s">
        <v>344</v>
      </c>
      <c r="B3" s="4">
        <v>350.7</v>
      </c>
      <c r="C3" s="4">
        <v>-34.4</v>
      </c>
      <c r="D3" s="4">
        <v>100.9</v>
      </c>
      <c r="E3" s="4">
        <v>3.8</v>
      </c>
      <c r="F3" s="4">
        <v>15</v>
      </c>
      <c r="G3" s="21">
        <v>2.4384363413601875</v>
      </c>
      <c r="H3" s="21">
        <v>216.30258861655014</v>
      </c>
      <c r="I3" s="4" t="s">
        <v>343</v>
      </c>
    </row>
    <row r="4" spans="1:10">
      <c r="A4" s="4" t="s">
        <v>345</v>
      </c>
      <c r="B4" s="4">
        <v>350.3</v>
      </c>
      <c r="C4" s="4">
        <v>-34.4</v>
      </c>
      <c r="D4" s="4">
        <v>30.1</v>
      </c>
      <c r="E4" s="4">
        <v>7.7</v>
      </c>
      <c r="F4" s="4">
        <v>13</v>
      </c>
      <c r="G4" s="21">
        <v>2.4154226784728934</v>
      </c>
      <c r="H4" s="21">
        <v>216.68066364231419</v>
      </c>
      <c r="I4" s="4" t="s">
        <v>343</v>
      </c>
    </row>
    <row r="5" spans="1:10">
      <c r="A5" s="4" t="s">
        <v>346</v>
      </c>
      <c r="B5" s="4">
        <v>355.6</v>
      </c>
      <c r="C5" s="4">
        <v>-30.3</v>
      </c>
      <c r="D5" s="4">
        <v>56.4</v>
      </c>
      <c r="E5" s="4">
        <v>10.3</v>
      </c>
      <c r="F5" s="4">
        <v>5</v>
      </c>
      <c r="G5" s="21">
        <v>4.6546008439669606</v>
      </c>
      <c r="H5" s="21">
        <v>213.13709297850554</v>
      </c>
      <c r="I5" s="4" t="s">
        <v>343</v>
      </c>
    </row>
    <row r="6" spans="1:10">
      <c r="A6" s="4" t="s">
        <v>347</v>
      </c>
      <c r="B6" s="4">
        <v>355.5</v>
      </c>
      <c r="C6" s="4">
        <v>-31.1</v>
      </c>
      <c r="F6" s="4">
        <v>1</v>
      </c>
      <c r="G6" s="21">
        <v>4.0999999999999996</v>
      </c>
      <c r="H6" s="21">
        <v>213.2</v>
      </c>
      <c r="I6" s="4" t="s">
        <v>343</v>
      </c>
    </row>
    <row r="7" spans="1:10">
      <c r="A7" s="4" t="s">
        <v>348</v>
      </c>
      <c r="B7" s="4">
        <v>1.7</v>
      </c>
      <c r="C7" s="4">
        <v>-30.8</v>
      </c>
      <c r="D7" s="4">
        <v>675.6</v>
      </c>
      <c r="E7" s="4">
        <v>2.6</v>
      </c>
      <c r="F7" s="4">
        <v>5</v>
      </c>
      <c r="G7" s="21">
        <v>4.3941091390167202</v>
      </c>
      <c r="H7" s="21">
        <v>207.26604334625691</v>
      </c>
      <c r="I7" s="4" t="s">
        <v>343</v>
      </c>
    </row>
    <row r="8" spans="1:10">
      <c r="A8" s="4" t="s">
        <v>349</v>
      </c>
      <c r="B8" s="4">
        <v>4.0999999999999996</v>
      </c>
      <c r="C8" s="4">
        <v>-40</v>
      </c>
      <c r="D8" s="4">
        <v>145</v>
      </c>
      <c r="E8" s="4">
        <v>5.6</v>
      </c>
      <c r="F8" s="4">
        <v>6</v>
      </c>
      <c r="G8" s="21">
        <v>-1.8089561979874986</v>
      </c>
      <c r="H8" s="21">
        <v>205.2</v>
      </c>
      <c r="I8" s="4" t="s">
        <v>343</v>
      </c>
    </row>
  </sheetData>
  <phoneticPr fontId="9" type="noConversion"/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80D714-E399-4001-A673-9FFF5DF040FB}">
  <dimension ref="A1:J39"/>
  <sheetViews>
    <sheetView topLeftCell="A22" zoomScaleNormal="100" workbookViewId="0">
      <selection sqref="A1:A1048576"/>
    </sheetView>
  </sheetViews>
  <sheetFormatPr defaultColWidth="8.81640625" defaultRowHeight="12.5"/>
  <cols>
    <col min="1" max="8" width="8.81640625" style="4"/>
    <col min="9" max="9" width="18.54296875" style="4" bestFit="1" customWidth="1"/>
    <col min="10" max="10" width="15.81640625" style="4" customWidth="1"/>
    <col min="11" max="16384" width="8.81640625" style="4"/>
  </cols>
  <sheetData>
    <row r="1" spans="1:10">
      <c r="A1" s="62" t="s">
        <v>0</v>
      </c>
      <c r="B1" s="56" t="s">
        <v>1</v>
      </c>
      <c r="C1" s="56" t="s">
        <v>2</v>
      </c>
      <c r="D1" s="56" t="s">
        <v>3</v>
      </c>
      <c r="E1" s="56" t="s">
        <v>4</v>
      </c>
      <c r="F1" s="56" t="s">
        <v>5</v>
      </c>
      <c r="G1" s="56" t="s">
        <v>6</v>
      </c>
      <c r="H1" s="56" t="s">
        <v>7</v>
      </c>
      <c r="I1" s="4" t="s">
        <v>9</v>
      </c>
      <c r="J1" s="4" t="s">
        <v>8</v>
      </c>
    </row>
    <row r="2" spans="1:10">
      <c r="A2" s="4" t="s">
        <v>350</v>
      </c>
      <c r="B2" s="4">
        <v>314.60000000000002</v>
      </c>
      <c r="C2" s="4">
        <v>-55.4</v>
      </c>
      <c r="D2" s="4">
        <v>92.3</v>
      </c>
      <c r="E2" s="4">
        <v>7</v>
      </c>
      <c r="F2" s="4">
        <v>6</v>
      </c>
      <c r="G2" s="21">
        <v>-12.153099127070201</v>
      </c>
      <c r="H2" s="21">
        <v>225.67940273304566</v>
      </c>
      <c r="I2" s="4" t="s">
        <v>149</v>
      </c>
      <c r="J2" s="4" t="s">
        <v>351</v>
      </c>
    </row>
    <row r="3" spans="1:10">
      <c r="A3" s="4" t="s">
        <v>352</v>
      </c>
      <c r="B3" s="4">
        <v>338</v>
      </c>
      <c r="C3" s="4">
        <v>-51.2</v>
      </c>
      <c r="D3" s="4">
        <v>117.2</v>
      </c>
      <c r="E3" s="4">
        <v>5.6</v>
      </c>
      <c r="F3" s="4">
        <v>7</v>
      </c>
      <c r="G3" s="21">
        <v>-2.7314944005250368</v>
      </c>
      <c r="H3" s="21">
        <v>208.10364204249223</v>
      </c>
      <c r="I3" s="4" t="s">
        <v>149</v>
      </c>
      <c r="J3" s="4" t="s">
        <v>351</v>
      </c>
    </row>
    <row r="4" spans="1:10">
      <c r="A4" s="4" t="s">
        <v>353</v>
      </c>
      <c r="B4" s="4">
        <v>309.3</v>
      </c>
      <c r="C4" s="4">
        <v>-72.599999999999994</v>
      </c>
      <c r="D4" s="4">
        <v>97.2</v>
      </c>
      <c r="E4" s="4">
        <v>6.8</v>
      </c>
      <c r="F4" s="4">
        <v>6</v>
      </c>
      <c r="G4" s="21">
        <v>-33.478664210261599</v>
      </c>
      <c r="H4" s="21">
        <v>218.93884612316523</v>
      </c>
      <c r="I4" s="4" t="s">
        <v>149</v>
      </c>
      <c r="J4" s="4" t="s">
        <v>351</v>
      </c>
    </row>
    <row r="5" spans="1:10">
      <c r="A5" s="4" t="s">
        <v>354</v>
      </c>
      <c r="B5" s="4">
        <v>299.89999999999998</v>
      </c>
      <c r="C5" s="4">
        <v>-40.700000000000003</v>
      </c>
      <c r="D5" s="4">
        <v>28.7</v>
      </c>
      <c r="E5" s="4">
        <v>12.7</v>
      </c>
      <c r="F5" s="4">
        <v>6</v>
      </c>
      <c r="G5" s="21">
        <v>-5.8325126189763381</v>
      </c>
      <c r="H5" s="21">
        <v>242.60038874192631</v>
      </c>
      <c r="I5" s="4" t="s">
        <v>149</v>
      </c>
      <c r="J5" s="4" t="s">
        <v>351</v>
      </c>
    </row>
    <row r="6" spans="1:10">
      <c r="A6" s="4" t="s">
        <v>355</v>
      </c>
      <c r="B6" s="4">
        <v>102.7</v>
      </c>
      <c r="C6" s="4">
        <v>27.7</v>
      </c>
      <c r="D6" s="4">
        <v>19</v>
      </c>
      <c r="E6" s="4">
        <v>14.4</v>
      </c>
      <c r="F6" s="4">
        <v>7</v>
      </c>
      <c r="G6" s="21">
        <v>-6.1697344992691683</v>
      </c>
      <c r="H6" s="21">
        <v>261.04396298896859</v>
      </c>
      <c r="I6" s="4" t="s">
        <v>149</v>
      </c>
      <c r="J6" s="4" t="s">
        <v>351</v>
      </c>
    </row>
    <row r="7" spans="1:10">
      <c r="A7" s="4" t="s">
        <v>356</v>
      </c>
      <c r="B7" s="4">
        <v>282.3</v>
      </c>
      <c r="C7" s="4">
        <v>-38.299999999999997</v>
      </c>
      <c r="D7" s="4">
        <v>81.2</v>
      </c>
      <c r="E7" s="4">
        <v>8.5</v>
      </c>
      <c r="F7" s="4">
        <v>5</v>
      </c>
      <c r="G7" s="21">
        <v>-12.23722811730191</v>
      </c>
      <c r="H7" s="21">
        <v>257.77057739592021</v>
      </c>
      <c r="I7" s="4" t="s">
        <v>149</v>
      </c>
      <c r="J7" s="4" t="s">
        <v>351</v>
      </c>
    </row>
    <row r="8" spans="1:10">
      <c r="A8" s="4" t="s">
        <v>357</v>
      </c>
      <c r="B8" s="4">
        <v>351.8</v>
      </c>
      <c r="C8" s="4">
        <v>-58.2</v>
      </c>
      <c r="D8" s="4">
        <v>61.3</v>
      </c>
      <c r="E8" s="4">
        <v>9.8000000000000007</v>
      </c>
      <c r="F8" s="4">
        <v>5</v>
      </c>
      <c r="G8" s="21">
        <v>-8.0707847812035851</v>
      </c>
      <c r="H8" s="21">
        <v>195.88850442979299</v>
      </c>
      <c r="I8" s="4" t="s">
        <v>149</v>
      </c>
      <c r="J8" s="4" t="s">
        <v>351</v>
      </c>
    </row>
    <row r="9" spans="1:10">
      <c r="A9" s="4" t="s">
        <v>358</v>
      </c>
      <c r="B9" s="4">
        <v>144.30000000000001</v>
      </c>
      <c r="C9" s="4">
        <v>61</v>
      </c>
      <c r="E9" s="4">
        <v>3.9</v>
      </c>
      <c r="F9" s="4">
        <v>7</v>
      </c>
      <c r="G9" s="21">
        <v>-15.236320502439554</v>
      </c>
      <c r="H9" s="21">
        <v>216.13544117391137</v>
      </c>
      <c r="I9" s="4" t="s">
        <v>149</v>
      </c>
      <c r="J9" s="4" t="s">
        <v>351</v>
      </c>
    </row>
    <row r="10" spans="1:10">
      <c r="A10" s="4" t="s">
        <v>359</v>
      </c>
      <c r="B10" s="4">
        <v>346.6</v>
      </c>
      <c r="C10" s="4">
        <v>-58.7</v>
      </c>
      <c r="D10" s="4">
        <v>335.9</v>
      </c>
      <c r="E10" s="4">
        <v>5</v>
      </c>
      <c r="F10" s="4">
        <v>4</v>
      </c>
      <c r="G10" s="21">
        <v>-9.0021430164364773</v>
      </c>
      <c r="H10" s="21">
        <v>199.87332843986971</v>
      </c>
      <c r="I10" s="4" t="s">
        <v>149</v>
      </c>
      <c r="J10" s="4" t="s">
        <v>351</v>
      </c>
    </row>
    <row r="11" spans="1:10">
      <c r="A11" s="4" t="s">
        <v>360</v>
      </c>
      <c r="B11" s="4">
        <v>161.1</v>
      </c>
      <c r="C11" s="4">
        <v>59.4</v>
      </c>
      <c r="E11" s="4">
        <v>1.1000000000000001</v>
      </c>
      <c r="F11" s="4">
        <v>3</v>
      </c>
      <c r="G11" s="21">
        <v>-10.388961182097475</v>
      </c>
      <c r="H11" s="21">
        <v>203.99723961908919</v>
      </c>
      <c r="I11" s="4" t="s">
        <v>149</v>
      </c>
      <c r="J11" s="4" t="s">
        <v>351</v>
      </c>
    </row>
    <row r="12" spans="1:10">
      <c r="A12" s="4" t="s">
        <v>361</v>
      </c>
      <c r="B12" s="4">
        <v>314.60000000000002</v>
      </c>
      <c r="C12" s="4">
        <v>-36.1</v>
      </c>
      <c r="D12" s="4">
        <v>34.799999999999997</v>
      </c>
      <c r="E12" s="4">
        <v>13.1</v>
      </c>
      <c r="F12" s="4">
        <v>5</v>
      </c>
      <c r="G12" s="21">
        <v>2.6888978727784973</v>
      </c>
      <c r="H12" s="21">
        <v>231.47184289780876</v>
      </c>
      <c r="I12" s="4" t="s">
        <v>149</v>
      </c>
      <c r="J12" s="4" t="s">
        <v>351</v>
      </c>
    </row>
    <row r="13" spans="1:10">
      <c r="A13" s="4" t="s">
        <v>362</v>
      </c>
      <c r="B13" s="4">
        <v>301.5</v>
      </c>
      <c r="C13" s="4">
        <v>-55.6</v>
      </c>
      <c r="D13" s="4">
        <v>29.6</v>
      </c>
      <c r="E13" s="4">
        <v>14.3</v>
      </c>
      <c r="F13" s="4">
        <v>5</v>
      </c>
      <c r="G13" s="21">
        <v>-16.708136916780006</v>
      </c>
      <c r="H13" s="21">
        <v>235.39728040365992</v>
      </c>
      <c r="I13" s="4" t="s">
        <v>149</v>
      </c>
      <c r="J13" s="4" t="s">
        <v>351</v>
      </c>
    </row>
    <row r="14" spans="1:10">
      <c r="A14" s="4" t="s">
        <v>363</v>
      </c>
      <c r="B14" s="4">
        <v>136</v>
      </c>
      <c r="C14" s="4">
        <v>48.7</v>
      </c>
      <c r="D14" s="4">
        <v>27.9</v>
      </c>
      <c r="E14" s="4">
        <v>14.7</v>
      </c>
      <c r="F14" s="4">
        <v>5</v>
      </c>
      <c r="G14" s="21">
        <v>-5.6395489867608433</v>
      </c>
      <c r="H14" s="21">
        <v>226.52964293723412</v>
      </c>
      <c r="I14" s="4" t="s">
        <v>149</v>
      </c>
      <c r="J14" s="4" t="s">
        <v>351</v>
      </c>
    </row>
    <row r="15" spans="1:10">
      <c r="A15" s="4" t="s">
        <v>364</v>
      </c>
      <c r="B15" s="4">
        <v>357.6</v>
      </c>
      <c r="C15" s="4">
        <v>-74.400000000000006</v>
      </c>
      <c r="D15" s="4">
        <v>138.4</v>
      </c>
      <c r="E15" s="4">
        <v>10.5</v>
      </c>
      <c r="F15" s="4">
        <v>3</v>
      </c>
      <c r="G15" s="21">
        <v>-29.368246810171314</v>
      </c>
      <c r="H15" s="21">
        <v>190.28339238496628</v>
      </c>
      <c r="I15" s="4" t="s">
        <v>149</v>
      </c>
      <c r="J15" s="4" t="s">
        <v>351</v>
      </c>
    </row>
    <row r="16" spans="1:10">
      <c r="A16" s="4" t="s">
        <v>365</v>
      </c>
      <c r="B16" s="4">
        <v>341</v>
      </c>
      <c r="C16" s="4">
        <v>-73.099999999999994</v>
      </c>
      <c r="D16" s="4">
        <v>140.4</v>
      </c>
      <c r="E16" s="4">
        <v>4.7</v>
      </c>
      <c r="F16" s="4">
        <v>8</v>
      </c>
      <c r="G16" s="21">
        <v>-28.193339021543196</v>
      </c>
      <c r="H16" s="21">
        <v>199.97321214854881</v>
      </c>
      <c r="I16" s="4" t="s">
        <v>149</v>
      </c>
      <c r="J16" s="4" t="s">
        <v>351</v>
      </c>
    </row>
    <row r="17" spans="1:10">
      <c r="A17" s="4" t="s">
        <v>366</v>
      </c>
      <c r="B17" s="4">
        <v>4.3</v>
      </c>
      <c r="C17" s="4">
        <v>-39.6</v>
      </c>
      <c r="D17" s="4">
        <v>103</v>
      </c>
      <c r="E17" s="24">
        <v>5.6</v>
      </c>
      <c r="F17" s="4">
        <v>6</v>
      </c>
      <c r="G17" s="63">
        <v>8.435681247859705</v>
      </c>
      <c r="H17" s="63">
        <v>185.50052936378489</v>
      </c>
      <c r="I17" s="4" t="s">
        <v>277</v>
      </c>
      <c r="J17" s="4" t="s">
        <v>351</v>
      </c>
    </row>
    <row r="18" spans="1:10">
      <c r="A18" s="4" t="s">
        <v>367</v>
      </c>
      <c r="B18" s="4">
        <v>321.2</v>
      </c>
      <c r="C18" s="4">
        <v>-39.1</v>
      </c>
      <c r="D18" s="4">
        <v>64</v>
      </c>
      <c r="E18" s="24">
        <v>7.1</v>
      </c>
      <c r="F18" s="4">
        <v>6</v>
      </c>
      <c r="G18" s="63">
        <v>2.806906734091001</v>
      </c>
      <c r="H18" s="63">
        <v>225.05246617600864</v>
      </c>
      <c r="I18" s="4" t="s">
        <v>277</v>
      </c>
      <c r="J18" s="4" t="s">
        <v>351</v>
      </c>
    </row>
    <row r="19" spans="1:10">
      <c r="A19" s="4" t="s">
        <v>368</v>
      </c>
      <c r="B19" s="4">
        <v>332.9</v>
      </c>
      <c r="C19" s="4">
        <v>-48.2</v>
      </c>
      <c r="D19" s="4">
        <v>174</v>
      </c>
      <c r="E19" s="24">
        <v>4.3</v>
      </c>
      <c r="F19" s="4">
        <v>6</v>
      </c>
      <c r="G19" s="63">
        <v>-1.0565396821799879</v>
      </c>
      <c r="H19" s="63">
        <v>212.94931809861311</v>
      </c>
      <c r="I19" s="4" t="s">
        <v>277</v>
      </c>
      <c r="J19" s="4" t="s">
        <v>351</v>
      </c>
    </row>
    <row r="20" spans="1:10">
      <c r="A20" s="4" t="s">
        <v>369</v>
      </c>
      <c r="B20" s="4">
        <v>337.7</v>
      </c>
      <c r="C20" s="4">
        <v>-32.6</v>
      </c>
      <c r="D20" s="4">
        <v>26</v>
      </c>
      <c r="E20" s="24">
        <v>11.2</v>
      </c>
      <c r="F20" s="4">
        <v>6</v>
      </c>
      <c r="G20" s="63">
        <v>11.102880397668656</v>
      </c>
      <c r="H20" s="63">
        <v>211.12916271549537</v>
      </c>
      <c r="I20" s="4" t="s">
        <v>277</v>
      </c>
      <c r="J20" s="4" t="s">
        <v>351</v>
      </c>
    </row>
    <row r="21" spans="1:10">
      <c r="A21" s="4" t="s">
        <v>370</v>
      </c>
      <c r="B21" s="4">
        <v>324.39999999999998</v>
      </c>
      <c r="C21" s="4">
        <v>-40.1</v>
      </c>
      <c r="D21" s="4">
        <v>51</v>
      </c>
      <c r="E21" s="24">
        <v>8</v>
      </c>
      <c r="F21" s="4">
        <v>6</v>
      </c>
      <c r="G21" s="63">
        <v>3.045052135448401</v>
      </c>
      <c r="H21" s="63">
        <v>222.01473719658483</v>
      </c>
      <c r="I21" s="4" t="s">
        <v>277</v>
      </c>
      <c r="J21" s="4" t="s">
        <v>351</v>
      </c>
    </row>
    <row r="22" spans="1:10">
      <c r="A22" s="4" t="s">
        <v>371</v>
      </c>
      <c r="B22" s="4">
        <v>319.39999999999998</v>
      </c>
      <c r="C22" s="4">
        <v>-46.8</v>
      </c>
      <c r="D22" s="4">
        <v>32</v>
      </c>
      <c r="E22" s="24">
        <v>10.1</v>
      </c>
      <c r="F22" s="4">
        <v>6</v>
      </c>
      <c r="G22" s="63">
        <v>-3.3186710206260557</v>
      </c>
      <c r="H22" s="63">
        <v>224.64387819182971</v>
      </c>
      <c r="I22" s="4" t="s">
        <v>277</v>
      </c>
      <c r="J22" s="4" t="s">
        <v>351</v>
      </c>
    </row>
    <row r="23" spans="1:10">
      <c r="A23" s="4" t="s">
        <v>372</v>
      </c>
      <c r="B23" s="4">
        <v>299.3</v>
      </c>
      <c r="C23" s="4">
        <v>-70.8</v>
      </c>
      <c r="D23" s="4">
        <v>26</v>
      </c>
      <c r="E23" s="24">
        <v>11.2</v>
      </c>
      <c r="F23" s="4">
        <v>6</v>
      </c>
      <c r="G23" s="63">
        <v>-33.926383270453584</v>
      </c>
      <c r="H23" s="63">
        <v>226.44144237186612</v>
      </c>
      <c r="I23" s="4" t="s">
        <v>277</v>
      </c>
      <c r="J23" s="4" t="s">
        <v>351</v>
      </c>
    </row>
    <row r="24" spans="1:10">
      <c r="A24" s="4" t="s">
        <v>373</v>
      </c>
      <c r="B24" s="4">
        <v>348.2</v>
      </c>
      <c r="C24" s="4">
        <v>-28</v>
      </c>
      <c r="D24" s="4">
        <v>48</v>
      </c>
      <c r="E24" s="24">
        <v>7.6</v>
      </c>
      <c r="F24" s="4">
        <v>7</v>
      </c>
      <c r="G24" s="63">
        <v>15.580619460887618</v>
      </c>
      <c r="H24" s="63">
        <v>201.3634756782472</v>
      </c>
      <c r="I24" s="4" t="s">
        <v>277</v>
      </c>
      <c r="J24" s="4" t="s">
        <v>351</v>
      </c>
    </row>
    <row r="25" spans="1:10">
      <c r="A25" s="4" t="s">
        <v>374</v>
      </c>
      <c r="B25" s="4">
        <v>343.9</v>
      </c>
      <c r="C25" s="4">
        <v>-40.799999999999997</v>
      </c>
      <c r="D25" s="4">
        <v>20</v>
      </c>
      <c r="E25" s="24">
        <v>12.8</v>
      </c>
      <c r="F25" s="4">
        <v>7</v>
      </c>
      <c r="G25" s="63">
        <v>6.6783737659017532</v>
      </c>
      <c r="H25" s="63">
        <v>204.37776458196453</v>
      </c>
      <c r="I25" s="4" t="s">
        <v>277</v>
      </c>
      <c r="J25" s="4" t="s">
        <v>351</v>
      </c>
    </row>
    <row r="26" spans="1:10">
      <c r="A26" s="4" t="s">
        <v>375</v>
      </c>
      <c r="B26" s="4">
        <v>297.2</v>
      </c>
      <c r="C26" s="4">
        <v>-58.2</v>
      </c>
      <c r="D26" s="4">
        <v>44</v>
      </c>
      <c r="E26" s="24">
        <v>8.6</v>
      </c>
      <c r="F26" s="4">
        <v>6</v>
      </c>
      <c r="G26" s="63">
        <v>-20.744516072398099</v>
      </c>
      <c r="H26" s="63">
        <v>237.24954670012968</v>
      </c>
      <c r="I26" s="4" t="s">
        <v>277</v>
      </c>
      <c r="J26" s="4" t="s">
        <v>351</v>
      </c>
    </row>
    <row r="27" spans="1:10">
      <c r="A27" s="4" t="s">
        <v>376</v>
      </c>
      <c r="B27" s="4">
        <v>315.89999999999998</v>
      </c>
      <c r="C27" s="4">
        <v>-56.7</v>
      </c>
      <c r="D27" s="4">
        <v>38</v>
      </c>
      <c r="E27" s="24">
        <v>10.199999999999999</v>
      </c>
      <c r="F27" s="4">
        <v>5</v>
      </c>
      <c r="G27" s="63">
        <v>-12.948739894835356</v>
      </c>
      <c r="H27" s="63">
        <v>224.11337666299974</v>
      </c>
      <c r="I27" s="4" t="s">
        <v>277</v>
      </c>
      <c r="J27" s="4" t="s">
        <v>351</v>
      </c>
    </row>
    <row r="28" spans="1:10">
      <c r="A28" s="4" t="s">
        <v>377</v>
      </c>
      <c r="B28" s="4">
        <v>343.2</v>
      </c>
      <c r="C28" s="4">
        <v>-37.299999999999997</v>
      </c>
      <c r="D28" s="4">
        <v>68</v>
      </c>
      <c r="E28" s="24">
        <v>6.4</v>
      </c>
      <c r="F28" s="4">
        <v>7</v>
      </c>
      <c r="G28" s="63">
        <v>9.0085738914227562</v>
      </c>
      <c r="H28" s="63">
        <v>205.36014855600382</v>
      </c>
      <c r="I28" s="4" t="s">
        <v>277</v>
      </c>
      <c r="J28" s="4" t="s">
        <v>351</v>
      </c>
    </row>
    <row r="29" spans="1:10">
      <c r="A29" s="4" t="s">
        <v>378</v>
      </c>
      <c r="B29" s="4">
        <v>359.2</v>
      </c>
      <c r="C29" s="4">
        <v>-46.9</v>
      </c>
      <c r="D29" s="4">
        <v>511</v>
      </c>
      <c r="E29" s="24">
        <v>2.2999999999999998</v>
      </c>
      <c r="F29" s="4">
        <v>7</v>
      </c>
      <c r="G29" s="63">
        <v>2.9373460312093727</v>
      </c>
      <c r="H29" s="63">
        <v>190.19551872184076</v>
      </c>
      <c r="I29" s="4" t="s">
        <v>277</v>
      </c>
      <c r="J29" s="4" t="s">
        <v>351</v>
      </c>
    </row>
    <row r="30" spans="1:10">
      <c r="A30" s="4" t="s">
        <v>379</v>
      </c>
      <c r="B30" s="4">
        <v>327</v>
      </c>
      <c r="C30" s="4">
        <v>-50.3</v>
      </c>
      <c r="D30" s="4">
        <v>273</v>
      </c>
      <c r="E30" s="24">
        <v>3.2</v>
      </c>
      <c r="F30" s="4">
        <v>7</v>
      </c>
      <c r="G30" s="63">
        <v>-4.0927025247438991</v>
      </c>
      <c r="H30" s="63">
        <v>217.33451002851848</v>
      </c>
      <c r="I30" s="4" t="s">
        <v>277</v>
      </c>
      <c r="J30" s="4" t="s">
        <v>351</v>
      </c>
    </row>
    <row r="31" spans="1:10">
      <c r="A31" s="4" t="s">
        <v>380</v>
      </c>
      <c r="B31" s="4">
        <v>331.8</v>
      </c>
      <c r="C31" s="4">
        <v>-45.6</v>
      </c>
      <c r="D31" s="4">
        <v>102</v>
      </c>
      <c r="E31" s="24">
        <v>5.7</v>
      </c>
      <c r="F31" s="4">
        <v>6</v>
      </c>
      <c r="G31" s="63">
        <v>0.87821524451081245</v>
      </c>
      <c r="H31" s="63">
        <v>214.33837105474959</v>
      </c>
      <c r="I31" s="4" t="s">
        <v>277</v>
      </c>
      <c r="J31" s="4" t="s">
        <v>351</v>
      </c>
    </row>
    <row r="32" spans="1:10">
      <c r="A32" s="4" t="s">
        <v>381</v>
      </c>
      <c r="B32" s="4">
        <v>329.7</v>
      </c>
      <c r="C32" s="4">
        <v>-48.2</v>
      </c>
      <c r="D32" s="4">
        <v>35</v>
      </c>
      <c r="E32" s="24">
        <v>9.6999999999999993</v>
      </c>
      <c r="F32" s="4">
        <v>6</v>
      </c>
      <c r="G32" s="63">
        <v>-1.685205772114557</v>
      </c>
      <c r="H32" s="63">
        <v>215.5843630300472</v>
      </c>
      <c r="I32" s="4" t="s">
        <v>277</v>
      </c>
      <c r="J32" s="4" t="s">
        <v>351</v>
      </c>
    </row>
    <row r="33" spans="1:10">
      <c r="A33" s="4" t="s">
        <v>382</v>
      </c>
      <c r="B33" s="4">
        <v>140.6</v>
      </c>
      <c r="C33" s="4">
        <v>49.6</v>
      </c>
      <c r="D33" s="4">
        <v>17</v>
      </c>
      <c r="E33" s="24">
        <v>15</v>
      </c>
      <c r="F33" s="4">
        <v>5</v>
      </c>
      <c r="G33" s="63">
        <v>-5.178720784692743</v>
      </c>
      <c r="H33" s="63">
        <v>222.77976863109421</v>
      </c>
      <c r="I33" s="4" t="s">
        <v>277</v>
      </c>
      <c r="J33" s="4" t="s">
        <v>351</v>
      </c>
    </row>
    <row r="34" spans="1:10">
      <c r="A34" s="4" t="s">
        <v>383</v>
      </c>
      <c r="B34" s="4">
        <v>338.3</v>
      </c>
      <c r="C34" s="4">
        <v>-34.299999999999997</v>
      </c>
      <c r="D34" s="4">
        <v>88</v>
      </c>
      <c r="E34" s="24">
        <v>8.6</v>
      </c>
      <c r="F34" s="4">
        <v>3</v>
      </c>
      <c r="G34" s="63">
        <v>10.199610835111656</v>
      </c>
      <c r="H34" s="63">
        <v>210.27439959952559</v>
      </c>
      <c r="I34" s="4" t="s">
        <v>277</v>
      </c>
      <c r="J34" s="4" t="s">
        <v>351</v>
      </c>
    </row>
    <row r="35" spans="1:10">
      <c r="A35" s="4" t="s">
        <v>384</v>
      </c>
      <c r="B35" s="4">
        <v>308.5</v>
      </c>
      <c r="C35" s="4">
        <v>-52.8</v>
      </c>
      <c r="D35" s="4">
        <v>50</v>
      </c>
      <c r="E35" s="24">
        <v>8.9</v>
      </c>
      <c r="F35" s="4">
        <v>5</v>
      </c>
      <c r="G35" s="63">
        <v>-11.717892115744391</v>
      </c>
      <c r="H35" s="63">
        <v>231.31772092892845</v>
      </c>
      <c r="I35" s="4" t="s">
        <v>277</v>
      </c>
      <c r="J35" s="4" t="s">
        <v>351</v>
      </c>
    </row>
    <row r="36" spans="1:10">
      <c r="A36" s="4" t="s">
        <v>385</v>
      </c>
      <c r="B36" s="4">
        <v>326.7</v>
      </c>
      <c r="C36" s="4">
        <v>-45.4</v>
      </c>
      <c r="D36" s="4">
        <v>34</v>
      </c>
      <c r="E36" s="24">
        <v>9.8000000000000007</v>
      </c>
      <c r="F36" s="4">
        <v>6</v>
      </c>
      <c r="G36" s="63">
        <v>-0.16434680641303601</v>
      </c>
      <c r="H36" s="63">
        <v>218.7654300331848</v>
      </c>
      <c r="I36" s="4" t="s">
        <v>277</v>
      </c>
      <c r="J36" s="4" t="s">
        <v>351</v>
      </c>
    </row>
    <row r="37" spans="1:10">
      <c r="A37" s="4" t="s">
        <v>386</v>
      </c>
      <c r="B37" s="4">
        <v>321.89999999999998</v>
      </c>
      <c r="C37" s="4">
        <v>-45.1</v>
      </c>
      <c r="D37" s="4">
        <v>54</v>
      </c>
      <c r="E37" s="24">
        <v>9.5</v>
      </c>
      <c r="F37" s="4">
        <v>4</v>
      </c>
      <c r="G37" s="63">
        <v>-1.2241141758193805</v>
      </c>
      <c r="H37" s="63">
        <v>222.92513788164615</v>
      </c>
      <c r="I37" s="4" t="s">
        <v>277</v>
      </c>
      <c r="J37" s="4" t="s">
        <v>351</v>
      </c>
    </row>
    <row r="38" spans="1:10">
      <c r="A38" s="4" t="s">
        <v>387</v>
      </c>
      <c r="B38" s="4">
        <v>128.30000000000001</v>
      </c>
      <c r="C38" s="4">
        <v>40.700000000000003</v>
      </c>
      <c r="D38" s="4">
        <v>58</v>
      </c>
      <c r="E38" s="24">
        <v>8.1999999999999993</v>
      </c>
      <c r="F38" s="4">
        <v>5</v>
      </c>
      <c r="G38" s="63">
        <v>-2.46972167580752</v>
      </c>
      <c r="H38" s="63">
        <v>235.505935807474</v>
      </c>
      <c r="I38" s="4" t="s">
        <v>277</v>
      </c>
      <c r="J38" s="4" t="s">
        <v>351</v>
      </c>
    </row>
    <row r="39" spans="1:10">
      <c r="A39" s="4" t="s">
        <v>388</v>
      </c>
      <c r="B39" s="4">
        <v>127.1</v>
      </c>
      <c r="C39" s="4">
        <v>64.400000000000006</v>
      </c>
      <c r="D39" s="4">
        <v>42</v>
      </c>
      <c r="E39" s="24">
        <v>10.8</v>
      </c>
      <c r="F39" s="4">
        <v>4</v>
      </c>
      <c r="G39" s="63">
        <v>-23.671968893780488</v>
      </c>
      <c r="H39" s="63">
        <v>226.36966934392194</v>
      </c>
      <c r="I39" s="4" t="s">
        <v>277</v>
      </c>
      <c r="J39" s="4" t="s">
        <v>351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5FFE05-521B-4EE8-85E3-B99213C9922F}">
  <dimension ref="A1:J14"/>
  <sheetViews>
    <sheetView workbookViewId="0">
      <selection sqref="A1:A1048576"/>
    </sheetView>
  </sheetViews>
  <sheetFormatPr defaultColWidth="8.81640625" defaultRowHeight="12.5"/>
  <cols>
    <col min="1" max="8" width="8.81640625" style="4"/>
    <col min="9" max="9" width="18.54296875" style="4" bestFit="1" customWidth="1"/>
    <col min="10" max="10" width="15.81640625" style="4" customWidth="1"/>
    <col min="11" max="16384" width="8.81640625" style="4"/>
  </cols>
  <sheetData>
    <row r="1" spans="1:10">
      <c r="A1" s="62" t="s">
        <v>0</v>
      </c>
      <c r="B1" s="56" t="s">
        <v>1</v>
      </c>
      <c r="C1" s="56" t="s">
        <v>2</v>
      </c>
      <c r="D1" s="56" t="s">
        <v>3</v>
      </c>
      <c r="E1" s="56" t="s">
        <v>4</v>
      </c>
      <c r="F1" s="56" t="s">
        <v>5</v>
      </c>
      <c r="G1" s="56" t="s">
        <v>6</v>
      </c>
      <c r="H1" s="56" t="s">
        <v>7</v>
      </c>
      <c r="I1" s="4" t="s">
        <v>9</v>
      </c>
      <c r="J1" s="4" t="s">
        <v>8</v>
      </c>
    </row>
    <row r="2" spans="1:10">
      <c r="A2" s="4" t="s">
        <v>389</v>
      </c>
      <c r="B2" s="4">
        <v>34</v>
      </c>
      <c r="C2" s="4">
        <v>79</v>
      </c>
      <c r="D2" s="4">
        <v>6</v>
      </c>
      <c r="E2" s="4">
        <v>9</v>
      </c>
      <c r="F2" s="23">
        <v>66</v>
      </c>
      <c r="G2" s="21">
        <v>77</v>
      </c>
      <c r="H2" s="21">
        <v>93</v>
      </c>
      <c r="I2" s="4" t="s">
        <v>390</v>
      </c>
    </row>
    <row r="3" spans="1:10">
      <c r="A3" s="4" t="s">
        <v>391</v>
      </c>
      <c r="B3" s="4">
        <v>36</v>
      </c>
      <c r="C3" s="4">
        <v>63</v>
      </c>
      <c r="D3" s="4">
        <v>34</v>
      </c>
      <c r="E3" s="4">
        <v>11</v>
      </c>
      <c r="F3" s="23">
        <v>7</v>
      </c>
      <c r="G3" s="21">
        <v>60</v>
      </c>
      <c r="H3" s="21">
        <v>151</v>
      </c>
      <c r="I3" s="4" t="s">
        <v>390</v>
      </c>
    </row>
    <row r="4" spans="1:10">
      <c r="A4" s="4" t="s">
        <v>392</v>
      </c>
      <c r="B4" s="4">
        <v>48</v>
      </c>
      <c r="C4" s="4">
        <v>87</v>
      </c>
      <c r="F4" s="23">
        <v>2</v>
      </c>
      <c r="G4" s="21">
        <v>71</v>
      </c>
      <c r="H4" s="21">
        <v>43</v>
      </c>
      <c r="I4" s="4" t="s">
        <v>390</v>
      </c>
    </row>
    <row r="5" spans="1:10">
      <c r="A5" s="4" t="s">
        <v>393</v>
      </c>
      <c r="B5" s="4">
        <v>52</v>
      </c>
      <c r="C5" s="4">
        <v>63</v>
      </c>
      <c r="D5" s="4">
        <v>5</v>
      </c>
      <c r="E5" s="4">
        <v>37</v>
      </c>
      <c r="F5" s="23">
        <v>5</v>
      </c>
      <c r="G5" s="21">
        <v>55</v>
      </c>
      <c r="H5" s="21">
        <v>131</v>
      </c>
      <c r="I5" s="4" t="s">
        <v>390</v>
      </c>
    </row>
    <row r="6" spans="1:10">
      <c r="A6" s="4" t="s">
        <v>394</v>
      </c>
      <c r="B6" s="4">
        <v>25</v>
      </c>
      <c r="C6" s="4">
        <v>69</v>
      </c>
      <c r="D6" s="4">
        <v>41</v>
      </c>
      <c r="E6" s="4">
        <v>12</v>
      </c>
      <c r="F6" s="23">
        <v>5</v>
      </c>
      <c r="G6" s="21">
        <v>71</v>
      </c>
      <c r="H6" s="21">
        <v>157</v>
      </c>
      <c r="I6" s="4" t="s">
        <v>390</v>
      </c>
    </row>
    <row r="7" spans="1:10">
      <c r="A7" s="4" t="s">
        <v>395</v>
      </c>
      <c r="B7" s="4">
        <v>53</v>
      </c>
      <c r="C7" s="4">
        <v>70</v>
      </c>
      <c r="D7" s="4">
        <v>10</v>
      </c>
      <c r="E7" s="4">
        <v>25</v>
      </c>
      <c r="F7" s="23">
        <v>5</v>
      </c>
      <c r="G7" s="21">
        <v>63</v>
      </c>
      <c r="H7" s="21">
        <v>127</v>
      </c>
      <c r="I7" s="4" t="s">
        <v>390</v>
      </c>
    </row>
    <row r="8" spans="1:10">
      <c r="A8" s="4" t="s">
        <v>396</v>
      </c>
      <c r="B8" s="4">
        <v>40</v>
      </c>
      <c r="C8" s="4">
        <v>80</v>
      </c>
      <c r="D8" s="4">
        <v>20</v>
      </c>
      <c r="E8" s="4">
        <v>9</v>
      </c>
      <c r="F8" s="23">
        <v>14</v>
      </c>
      <c r="G8" s="21">
        <v>75</v>
      </c>
      <c r="H8" s="21">
        <v>86</v>
      </c>
      <c r="I8" s="4" t="s">
        <v>390</v>
      </c>
    </row>
    <row r="9" spans="1:10">
      <c r="A9" s="4" t="s">
        <v>397</v>
      </c>
      <c r="B9" s="4">
        <v>83</v>
      </c>
      <c r="C9" s="4">
        <v>70</v>
      </c>
      <c r="D9" s="4">
        <v>15</v>
      </c>
      <c r="E9" s="4">
        <v>10</v>
      </c>
      <c r="F9" s="23">
        <v>16</v>
      </c>
      <c r="G9" s="21">
        <v>51</v>
      </c>
      <c r="H9" s="21">
        <v>96</v>
      </c>
      <c r="I9" s="4" t="s">
        <v>390</v>
      </c>
    </row>
    <row r="10" spans="1:10">
      <c r="A10" s="4" t="s">
        <v>398</v>
      </c>
      <c r="B10" s="4">
        <v>32</v>
      </c>
      <c r="C10" s="4">
        <v>76</v>
      </c>
      <c r="D10" s="4">
        <v>56</v>
      </c>
      <c r="E10" s="4">
        <v>8</v>
      </c>
      <c r="F10" s="23">
        <v>7</v>
      </c>
      <c r="G10" s="21">
        <v>77</v>
      </c>
      <c r="H10" s="21">
        <v>111</v>
      </c>
      <c r="I10" s="4" t="s">
        <v>390</v>
      </c>
    </row>
    <row r="11" spans="1:10">
      <c r="A11" s="4" t="s">
        <v>399</v>
      </c>
      <c r="B11" s="4">
        <v>36</v>
      </c>
      <c r="C11" s="4">
        <v>69</v>
      </c>
      <c r="D11" s="4">
        <v>26</v>
      </c>
      <c r="E11" s="4">
        <v>10</v>
      </c>
      <c r="F11" s="23">
        <v>9</v>
      </c>
      <c r="G11" s="21">
        <v>68</v>
      </c>
      <c r="H11" s="21">
        <v>139</v>
      </c>
      <c r="I11" s="4" t="s">
        <v>390</v>
      </c>
    </row>
    <row r="12" spans="1:10">
      <c r="A12" s="4" t="s">
        <v>400</v>
      </c>
      <c r="B12" s="4">
        <v>34</v>
      </c>
      <c r="C12" s="4">
        <v>72</v>
      </c>
      <c r="D12" s="4">
        <v>9</v>
      </c>
      <c r="E12" s="4">
        <v>16</v>
      </c>
      <c r="F12" s="23">
        <v>11</v>
      </c>
      <c r="G12" s="21">
        <v>72</v>
      </c>
      <c r="H12" s="21">
        <v>134</v>
      </c>
      <c r="I12" s="4" t="s">
        <v>390</v>
      </c>
    </row>
    <row r="13" spans="1:10">
      <c r="A13" s="4" t="s">
        <v>401</v>
      </c>
      <c r="B13" s="4">
        <v>19</v>
      </c>
      <c r="C13" s="4">
        <v>88</v>
      </c>
      <c r="D13" s="4">
        <v>23</v>
      </c>
      <c r="E13" s="4">
        <v>7</v>
      </c>
      <c r="F13" s="23">
        <v>18</v>
      </c>
      <c r="G13" s="21">
        <v>71</v>
      </c>
      <c r="H13" s="21">
        <v>33</v>
      </c>
      <c r="I13" s="4" t="s">
        <v>390</v>
      </c>
    </row>
    <row r="14" spans="1:10">
      <c r="A14" s="4" t="s">
        <v>402</v>
      </c>
      <c r="B14" s="4">
        <v>38</v>
      </c>
      <c r="C14" s="4">
        <v>67</v>
      </c>
      <c r="D14" s="4">
        <v>37</v>
      </c>
      <c r="E14" s="4">
        <v>13</v>
      </c>
      <c r="F14" s="23">
        <v>5</v>
      </c>
      <c r="G14" s="21">
        <v>64</v>
      </c>
      <c r="H14" s="21">
        <v>142</v>
      </c>
      <c r="I14" s="4" t="s">
        <v>390</v>
      </c>
    </row>
  </sheetData>
  <phoneticPr fontId="6" type="noConversion"/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775382-E5E7-4808-8285-E955E83CA850}">
  <dimension ref="A1:M113"/>
  <sheetViews>
    <sheetView workbookViewId="0">
      <pane ySplit="1" topLeftCell="A53" activePane="bottomLeft" state="frozen"/>
      <selection activeCell="L56" sqref="L56"/>
      <selection pane="bottomLeft" activeCell="A60" sqref="A60"/>
    </sheetView>
  </sheetViews>
  <sheetFormatPr defaultColWidth="8.81640625" defaultRowHeight="12.5"/>
  <cols>
    <col min="1" max="1" width="15.1796875" style="4" customWidth="1"/>
    <col min="2" max="8" width="8.81640625" style="4"/>
    <col min="9" max="9" width="24.90625" style="4" bestFit="1" customWidth="1"/>
    <col min="10" max="10" width="15" style="4" customWidth="1"/>
    <col min="11" max="16384" width="8.81640625" style="4"/>
  </cols>
  <sheetData>
    <row r="1" spans="1:10">
      <c r="A1" s="62" t="s">
        <v>0</v>
      </c>
      <c r="B1" s="56" t="s">
        <v>1</v>
      </c>
      <c r="C1" s="56" t="s">
        <v>2</v>
      </c>
      <c r="D1" s="56" t="s">
        <v>3</v>
      </c>
      <c r="E1" s="56" t="s">
        <v>4</v>
      </c>
      <c r="F1" s="56" t="s">
        <v>5</v>
      </c>
      <c r="G1" s="64" t="s">
        <v>6</v>
      </c>
      <c r="H1" s="64" t="s">
        <v>7</v>
      </c>
      <c r="I1" s="4" t="s">
        <v>9</v>
      </c>
      <c r="J1" s="1" t="s">
        <v>8</v>
      </c>
    </row>
    <row r="2" spans="1:10" s="59" customFormat="1">
      <c r="A2" s="59" t="s">
        <v>403</v>
      </c>
      <c r="B2" s="59">
        <v>45.1</v>
      </c>
      <c r="C2" s="59">
        <v>-37.4</v>
      </c>
      <c r="F2" s="59">
        <v>52</v>
      </c>
      <c r="G2" s="50">
        <v>-1.5284753764893821</v>
      </c>
      <c r="H2" s="50">
        <v>157.05674442236693</v>
      </c>
      <c r="J2" s="59" t="s">
        <v>404</v>
      </c>
    </row>
    <row r="3" spans="1:10">
      <c r="A3" s="1" t="s">
        <v>405</v>
      </c>
      <c r="B3" s="4">
        <v>30</v>
      </c>
      <c r="C3" s="4">
        <v>-33</v>
      </c>
      <c r="D3" s="4">
        <v>59.1</v>
      </c>
      <c r="F3" s="56">
        <v>7</v>
      </c>
      <c r="G3" s="4">
        <v>6</v>
      </c>
      <c r="H3" s="57">
        <v>172</v>
      </c>
      <c r="I3" s="4" t="s">
        <v>406</v>
      </c>
    </row>
    <row r="4" spans="1:10">
      <c r="A4" s="1" t="s">
        <v>407</v>
      </c>
      <c r="B4" s="4">
        <v>39</v>
      </c>
      <c r="C4" s="4">
        <v>-27</v>
      </c>
      <c r="D4" s="4">
        <v>118.6</v>
      </c>
      <c r="F4" s="56">
        <v>8</v>
      </c>
      <c r="G4" s="57">
        <v>7</v>
      </c>
      <c r="H4" s="58">
        <v>163</v>
      </c>
      <c r="I4" s="4" t="s">
        <v>406</v>
      </c>
    </row>
    <row r="5" spans="1:10">
      <c r="A5" s="1" t="s">
        <v>408</v>
      </c>
      <c r="B5" s="4">
        <v>35</v>
      </c>
      <c r="C5" s="4">
        <v>-23</v>
      </c>
      <c r="D5" s="4">
        <v>317.5</v>
      </c>
      <c r="F5" s="56">
        <v>5</v>
      </c>
      <c r="G5" s="57">
        <v>7</v>
      </c>
      <c r="H5" s="58">
        <v>167</v>
      </c>
      <c r="I5" s="4" t="s">
        <v>406</v>
      </c>
    </row>
    <row r="6" spans="1:10">
      <c r="A6" s="1" t="s">
        <v>409</v>
      </c>
      <c r="B6" s="4">
        <v>34</v>
      </c>
      <c r="C6" s="4">
        <v>-31</v>
      </c>
      <c r="D6" s="4">
        <v>177.2</v>
      </c>
      <c r="F6" s="56">
        <v>8</v>
      </c>
      <c r="G6" s="57">
        <v>6</v>
      </c>
      <c r="H6" s="58">
        <v>168</v>
      </c>
      <c r="I6" s="4" t="s">
        <v>406</v>
      </c>
    </row>
    <row r="7" spans="1:10">
      <c r="A7" s="1" t="s">
        <v>410</v>
      </c>
      <c r="B7" s="4">
        <v>33</v>
      </c>
      <c r="C7" s="4">
        <v>-27</v>
      </c>
      <c r="D7" s="4">
        <v>142.4</v>
      </c>
      <c r="F7" s="56">
        <v>9</v>
      </c>
      <c r="G7" s="57">
        <v>9</v>
      </c>
      <c r="H7" s="58">
        <v>169</v>
      </c>
      <c r="I7" s="4" t="s">
        <v>406</v>
      </c>
    </row>
    <row r="8" spans="1:10">
      <c r="A8" s="1" t="s">
        <v>411</v>
      </c>
      <c r="B8" s="4">
        <v>37</v>
      </c>
      <c r="C8" s="4">
        <v>-33</v>
      </c>
      <c r="D8" s="4">
        <v>185.9</v>
      </c>
      <c r="F8" s="56">
        <v>6</v>
      </c>
      <c r="G8" s="57">
        <v>4</v>
      </c>
      <c r="H8" s="58">
        <v>166</v>
      </c>
      <c r="I8" s="4" t="s">
        <v>406</v>
      </c>
    </row>
    <row r="9" spans="1:10">
      <c r="A9" s="1" t="s">
        <v>412</v>
      </c>
      <c r="B9" s="4">
        <v>37</v>
      </c>
      <c r="C9" s="4">
        <v>-24</v>
      </c>
      <c r="D9" s="4">
        <v>72.400000000000006</v>
      </c>
      <c r="F9" s="56">
        <v>9</v>
      </c>
      <c r="G9" s="57">
        <v>9</v>
      </c>
      <c r="H9" s="58">
        <v>164</v>
      </c>
      <c r="I9" s="4" t="s">
        <v>406</v>
      </c>
    </row>
    <row r="10" spans="1:10">
      <c r="A10" s="1" t="s">
        <v>413</v>
      </c>
      <c r="B10" s="4">
        <v>38</v>
      </c>
      <c r="C10" s="4">
        <v>-33</v>
      </c>
      <c r="D10" s="4">
        <v>61.6</v>
      </c>
      <c r="F10" s="56">
        <v>9</v>
      </c>
      <c r="G10" s="57">
        <v>4</v>
      </c>
      <c r="H10" s="58">
        <v>165</v>
      </c>
      <c r="I10" s="4" t="s">
        <v>406</v>
      </c>
    </row>
    <row r="11" spans="1:10">
      <c r="A11" s="1" t="s">
        <v>414</v>
      </c>
      <c r="B11" s="4">
        <v>41</v>
      </c>
      <c r="C11" s="4">
        <v>-4</v>
      </c>
      <c r="D11" s="4">
        <v>25.2</v>
      </c>
      <c r="F11" s="56">
        <v>6</v>
      </c>
      <c r="G11" s="57">
        <v>18</v>
      </c>
      <c r="H11" s="58">
        <v>158</v>
      </c>
      <c r="I11" s="4" t="s">
        <v>406</v>
      </c>
    </row>
    <row r="12" spans="1:10">
      <c r="A12" s="1" t="s">
        <v>415</v>
      </c>
      <c r="B12" s="4">
        <v>41</v>
      </c>
      <c r="C12" s="4">
        <v>-30</v>
      </c>
      <c r="D12" s="4">
        <v>120.1</v>
      </c>
      <c r="F12" s="56">
        <v>8</v>
      </c>
      <c r="G12" s="57">
        <v>5</v>
      </c>
      <c r="H12" s="58">
        <v>162</v>
      </c>
      <c r="I12" s="4" t="s">
        <v>406</v>
      </c>
    </row>
    <row r="13" spans="1:10">
      <c r="A13" s="1" t="s">
        <v>416</v>
      </c>
      <c r="B13" s="4">
        <v>38</v>
      </c>
      <c r="C13" s="4">
        <v>-24</v>
      </c>
      <c r="D13" s="4">
        <v>192.3</v>
      </c>
      <c r="F13" s="56">
        <v>6</v>
      </c>
      <c r="G13" s="57">
        <v>9</v>
      </c>
      <c r="H13" s="58">
        <v>164</v>
      </c>
      <c r="I13" s="4" t="s">
        <v>406</v>
      </c>
    </row>
    <row r="14" spans="1:10">
      <c r="A14" s="1" t="s">
        <v>417</v>
      </c>
      <c r="B14" s="4">
        <v>69</v>
      </c>
      <c r="C14" s="4">
        <v>-28</v>
      </c>
      <c r="D14" s="4">
        <v>15.9</v>
      </c>
      <c r="F14" s="56">
        <v>8</v>
      </c>
      <c r="G14" s="57">
        <v>4</v>
      </c>
      <c r="H14" s="58">
        <v>137</v>
      </c>
      <c r="I14" s="4" t="s">
        <v>406</v>
      </c>
    </row>
    <row r="15" spans="1:10">
      <c r="A15" s="1" t="s">
        <v>418</v>
      </c>
      <c r="B15" s="4">
        <v>31</v>
      </c>
      <c r="C15" s="4">
        <v>-31</v>
      </c>
      <c r="D15" s="4">
        <v>235.9</v>
      </c>
      <c r="F15" s="56">
        <v>6</v>
      </c>
      <c r="G15" s="57">
        <v>4</v>
      </c>
      <c r="H15" s="58">
        <v>172</v>
      </c>
      <c r="I15" s="4" t="s">
        <v>406</v>
      </c>
    </row>
    <row r="16" spans="1:10">
      <c r="A16" s="1" t="s">
        <v>419</v>
      </c>
      <c r="B16" s="4">
        <v>37</v>
      </c>
      <c r="C16" s="4">
        <v>-22</v>
      </c>
      <c r="D16" s="4">
        <v>35.1</v>
      </c>
      <c r="F16" s="56">
        <v>8</v>
      </c>
      <c r="G16" s="57">
        <v>10</v>
      </c>
      <c r="H16" s="58">
        <v>164</v>
      </c>
      <c r="I16" s="4" t="s">
        <v>406</v>
      </c>
    </row>
    <row r="17" spans="1:9">
      <c r="A17" s="1" t="s">
        <v>420</v>
      </c>
      <c r="B17" s="4">
        <v>34</v>
      </c>
      <c r="C17" s="4">
        <v>-34</v>
      </c>
      <c r="D17" s="4">
        <v>140.4</v>
      </c>
      <c r="F17" s="56">
        <v>5</v>
      </c>
      <c r="G17" s="57">
        <v>4</v>
      </c>
      <c r="H17" s="58">
        <v>169</v>
      </c>
      <c r="I17" s="4" t="s">
        <v>406</v>
      </c>
    </row>
    <row r="18" spans="1:9">
      <c r="A18" s="4" t="s">
        <v>421</v>
      </c>
      <c r="B18" s="4">
        <v>49.8</v>
      </c>
      <c r="C18" s="4">
        <v>-45.3</v>
      </c>
      <c r="D18" s="4">
        <v>234</v>
      </c>
      <c r="E18" s="4">
        <v>3.9</v>
      </c>
      <c r="F18" s="4">
        <v>7</v>
      </c>
      <c r="G18" s="21"/>
      <c r="H18" s="21"/>
      <c r="I18" s="4" t="s">
        <v>422</v>
      </c>
    </row>
    <row r="19" spans="1:9">
      <c r="A19" s="4" t="s">
        <v>423</v>
      </c>
      <c r="B19" s="4">
        <v>43.3</v>
      </c>
      <c r="C19" s="4">
        <v>-49</v>
      </c>
      <c r="D19" s="4">
        <v>343</v>
      </c>
      <c r="E19" s="4">
        <v>3.3</v>
      </c>
      <c r="F19" s="4">
        <v>7</v>
      </c>
      <c r="G19" s="21"/>
      <c r="H19" s="21"/>
      <c r="I19" s="4" t="s">
        <v>422</v>
      </c>
    </row>
    <row r="20" spans="1:9">
      <c r="A20" s="4" t="s">
        <v>424</v>
      </c>
      <c r="B20" s="4">
        <v>35.299999999999997</v>
      </c>
      <c r="C20" s="4">
        <v>-53.1</v>
      </c>
      <c r="D20" s="4">
        <v>16</v>
      </c>
      <c r="E20" s="4">
        <v>17.5</v>
      </c>
      <c r="F20" s="4">
        <v>6</v>
      </c>
      <c r="G20" s="21"/>
      <c r="H20" s="21"/>
      <c r="I20" s="4" t="s">
        <v>422</v>
      </c>
    </row>
    <row r="21" spans="1:9">
      <c r="A21" s="4" t="s">
        <v>425</v>
      </c>
      <c r="B21" s="4">
        <v>50.6</v>
      </c>
      <c r="C21" s="4">
        <v>-48.2</v>
      </c>
      <c r="D21" s="4">
        <v>318</v>
      </c>
      <c r="E21" s="4">
        <v>3.8</v>
      </c>
      <c r="F21" s="4">
        <v>6</v>
      </c>
      <c r="G21" s="21"/>
      <c r="H21" s="21"/>
      <c r="I21" s="4" t="s">
        <v>422</v>
      </c>
    </row>
    <row r="22" spans="1:9">
      <c r="A22" s="4" t="s">
        <v>426</v>
      </c>
      <c r="B22" s="4">
        <v>49.1</v>
      </c>
      <c r="C22" s="4">
        <v>-45.5</v>
      </c>
      <c r="D22" s="4">
        <v>626</v>
      </c>
      <c r="E22" s="4">
        <v>3.1</v>
      </c>
      <c r="F22" s="4">
        <v>5</v>
      </c>
      <c r="G22" s="21"/>
      <c r="H22" s="21"/>
      <c r="I22" s="4" t="s">
        <v>422</v>
      </c>
    </row>
    <row r="23" spans="1:9">
      <c r="A23" s="4" t="s">
        <v>427</v>
      </c>
      <c r="B23" s="4">
        <v>54.6</v>
      </c>
      <c r="C23" s="4">
        <v>-54.9</v>
      </c>
      <c r="D23" s="4">
        <v>259</v>
      </c>
      <c r="E23" s="4">
        <v>4.2</v>
      </c>
      <c r="F23" s="4">
        <v>6</v>
      </c>
      <c r="G23" s="21"/>
      <c r="H23" s="21"/>
      <c r="I23" s="4" t="s">
        <v>422</v>
      </c>
    </row>
    <row r="24" spans="1:9">
      <c r="A24" s="4" t="s">
        <v>428</v>
      </c>
      <c r="B24" s="4">
        <v>42.7</v>
      </c>
      <c r="C24" s="4">
        <v>-37</v>
      </c>
      <c r="D24" s="4">
        <v>82</v>
      </c>
      <c r="E24" s="4">
        <v>8.5</v>
      </c>
      <c r="F24" s="4">
        <v>5</v>
      </c>
      <c r="G24" s="21"/>
      <c r="H24" s="21"/>
      <c r="I24" s="4" t="s">
        <v>422</v>
      </c>
    </row>
    <row r="25" spans="1:9">
      <c r="A25" s="4" t="s">
        <v>429</v>
      </c>
      <c r="B25" s="4">
        <v>48.7</v>
      </c>
      <c r="C25" s="4">
        <v>-37.1</v>
      </c>
      <c r="D25" s="4">
        <v>33</v>
      </c>
      <c r="E25" s="4">
        <v>13.5</v>
      </c>
      <c r="F25" s="4">
        <v>5</v>
      </c>
      <c r="G25" s="21"/>
      <c r="H25" s="21"/>
      <c r="I25" s="4" t="s">
        <v>422</v>
      </c>
    </row>
    <row r="26" spans="1:9">
      <c r="A26" s="4" t="s">
        <v>430</v>
      </c>
      <c r="B26" s="4">
        <v>44</v>
      </c>
      <c r="C26" s="4">
        <v>-42.7</v>
      </c>
      <c r="D26" s="4">
        <v>174</v>
      </c>
      <c r="E26" s="4">
        <v>5.0999999999999996</v>
      </c>
      <c r="F26" s="4">
        <v>6</v>
      </c>
      <c r="G26" s="21"/>
      <c r="H26" s="21"/>
      <c r="I26" s="4" t="s">
        <v>422</v>
      </c>
    </row>
    <row r="27" spans="1:9">
      <c r="A27" s="4" t="s">
        <v>431</v>
      </c>
      <c r="B27" s="4">
        <v>50.5</v>
      </c>
      <c r="C27" s="4">
        <v>-47.9</v>
      </c>
      <c r="D27" s="4">
        <v>85</v>
      </c>
      <c r="E27" s="4">
        <v>8.3000000000000007</v>
      </c>
      <c r="F27" s="4">
        <v>5</v>
      </c>
      <c r="G27" s="21"/>
      <c r="H27" s="21"/>
      <c r="I27" s="4" t="s">
        <v>422</v>
      </c>
    </row>
    <row r="28" spans="1:9">
      <c r="A28" s="4" t="s">
        <v>432</v>
      </c>
      <c r="B28" s="4">
        <v>48.7</v>
      </c>
      <c r="C28" s="4">
        <v>-37.9</v>
      </c>
      <c r="D28" s="4">
        <v>50</v>
      </c>
      <c r="E28" s="4">
        <v>9.6</v>
      </c>
      <c r="F28" s="4">
        <v>6</v>
      </c>
      <c r="G28" s="21"/>
      <c r="H28" s="21"/>
      <c r="I28" s="4" t="s">
        <v>422</v>
      </c>
    </row>
    <row r="29" spans="1:9">
      <c r="A29" s="4" t="s">
        <v>433</v>
      </c>
      <c r="B29" s="4">
        <v>48.5</v>
      </c>
      <c r="C29" s="4">
        <v>-36.6</v>
      </c>
      <c r="D29" s="4">
        <v>48</v>
      </c>
      <c r="E29" s="4">
        <v>9.8000000000000007</v>
      </c>
      <c r="F29" s="4">
        <v>6</v>
      </c>
      <c r="G29" s="21"/>
      <c r="H29" s="21"/>
      <c r="I29" s="4" t="s">
        <v>422</v>
      </c>
    </row>
    <row r="30" spans="1:9">
      <c r="A30" s="4" t="s">
        <v>434</v>
      </c>
      <c r="B30" s="4">
        <v>48.1</v>
      </c>
      <c r="C30" s="4">
        <v>-55.7</v>
      </c>
      <c r="D30" s="4">
        <v>162</v>
      </c>
      <c r="E30" s="4">
        <v>5.3</v>
      </c>
      <c r="F30" s="4">
        <v>6</v>
      </c>
      <c r="G30" s="21"/>
      <c r="H30" s="21"/>
      <c r="I30" s="4" t="s">
        <v>422</v>
      </c>
    </row>
    <row r="31" spans="1:9">
      <c r="A31" s="4" t="s">
        <v>435</v>
      </c>
      <c r="B31" s="4">
        <v>42.7</v>
      </c>
      <c r="C31" s="4">
        <v>-36.4</v>
      </c>
      <c r="D31" s="4">
        <v>419</v>
      </c>
      <c r="E31" s="4">
        <v>3.3</v>
      </c>
      <c r="F31" s="4">
        <v>6</v>
      </c>
      <c r="G31" s="21"/>
      <c r="H31" s="21"/>
      <c r="I31" s="4" t="s">
        <v>422</v>
      </c>
    </row>
    <row r="32" spans="1:9">
      <c r="A32" s="4" t="s">
        <v>436</v>
      </c>
      <c r="B32" s="4">
        <v>49.6</v>
      </c>
      <c r="C32" s="4">
        <v>-31.4</v>
      </c>
      <c r="D32" s="4">
        <v>171</v>
      </c>
      <c r="E32" s="4">
        <v>5.0999999999999996</v>
      </c>
      <c r="F32" s="4">
        <v>6</v>
      </c>
      <c r="G32" s="21"/>
      <c r="H32" s="21"/>
      <c r="I32" s="4" t="s">
        <v>422</v>
      </c>
    </row>
    <row r="33" spans="1:9">
      <c r="A33" s="4" t="s">
        <v>437</v>
      </c>
      <c r="B33" s="4">
        <v>44.5</v>
      </c>
      <c r="C33" s="4">
        <v>-34.700000000000003</v>
      </c>
      <c r="D33" s="4">
        <v>772</v>
      </c>
      <c r="E33" s="4">
        <v>2.8</v>
      </c>
      <c r="F33" s="4">
        <v>5</v>
      </c>
      <c r="G33" s="21"/>
      <c r="H33" s="21"/>
      <c r="I33" s="4" t="s">
        <v>422</v>
      </c>
    </row>
    <row r="34" spans="1:9">
      <c r="A34" s="4" t="s">
        <v>438</v>
      </c>
      <c r="B34" s="4">
        <v>46.7</v>
      </c>
      <c r="C34" s="4">
        <v>-45.5</v>
      </c>
      <c r="D34" s="4">
        <v>157</v>
      </c>
      <c r="E34" s="4">
        <v>5.4</v>
      </c>
      <c r="F34" s="4">
        <v>6</v>
      </c>
      <c r="G34" s="21"/>
      <c r="H34" s="21"/>
      <c r="I34" s="4" t="s">
        <v>422</v>
      </c>
    </row>
    <row r="35" spans="1:9">
      <c r="A35" s="4" t="s">
        <v>439</v>
      </c>
      <c r="B35" s="4">
        <v>54</v>
      </c>
      <c r="C35" s="4">
        <v>-28.5</v>
      </c>
      <c r="D35" s="4">
        <v>80</v>
      </c>
      <c r="E35" s="4">
        <v>7.5</v>
      </c>
      <c r="F35" s="4">
        <v>6</v>
      </c>
      <c r="G35" s="21"/>
      <c r="H35" s="21"/>
      <c r="I35" s="4" t="s">
        <v>422</v>
      </c>
    </row>
    <row r="36" spans="1:9">
      <c r="A36" s="4" t="s">
        <v>440</v>
      </c>
      <c r="B36" s="4">
        <v>48</v>
      </c>
      <c r="C36" s="4">
        <v>-47.9</v>
      </c>
      <c r="D36" s="4">
        <v>685</v>
      </c>
      <c r="E36" s="4">
        <v>2.6</v>
      </c>
      <c r="F36" s="4">
        <v>6</v>
      </c>
      <c r="G36" s="21"/>
      <c r="H36" s="21"/>
      <c r="I36" s="4" t="s">
        <v>422</v>
      </c>
    </row>
    <row r="37" spans="1:9">
      <c r="A37" s="4" t="s">
        <v>441</v>
      </c>
      <c r="B37" s="4">
        <v>51.6</v>
      </c>
      <c r="C37" s="4">
        <v>-63</v>
      </c>
      <c r="D37" s="4">
        <v>172</v>
      </c>
      <c r="E37" s="4">
        <v>5.0999999999999996</v>
      </c>
      <c r="F37" s="4">
        <v>6</v>
      </c>
      <c r="G37" s="21"/>
      <c r="H37" s="21"/>
      <c r="I37" s="4" t="s">
        <v>422</v>
      </c>
    </row>
    <row r="38" spans="1:9">
      <c r="A38" s="4" t="s">
        <v>442</v>
      </c>
      <c r="B38" s="4">
        <v>43.9</v>
      </c>
      <c r="C38" s="4">
        <v>-51.6</v>
      </c>
      <c r="D38" s="4">
        <v>960</v>
      </c>
      <c r="E38" s="4">
        <v>1.9</v>
      </c>
      <c r="F38" s="4">
        <v>7</v>
      </c>
      <c r="G38" s="21"/>
      <c r="H38" s="21"/>
      <c r="I38" s="4" t="s">
        <v>422</v>
      </c>
    </row>
    <row r="39" spans="1:9">
      <c r="A39" s="4" t="s">
        <v>443</v>
      </c>
      <c r="B39" s="4">
        <v>47.7</v>
      </c>
      <c r="C39" s="4">
        <v>-56.1</v>
      </c>
      <c r="D39" s="4">
        <v>53</v>
      </c>
      <c r="E39" s="4">
        <v>9.3000000000000007</v>
      </c>
      <c r="F39" s="4">
        <v>6</v>
      </c>
      <c r="G39" s="21"/>
      <c r="H39" s="21"/>
      <c r="I39" s="4" t="s">
        <v>422</v>
      </c>
    </row>
    <row r="40" spans="1:9">
      <c r="A40" s="4" t="s">
        <v>444</v>
      </c>
      <c r="B40" s="4">
        <v>35</v>
      </c>
      <c r="C40" s="4">
        <v>-33.1</v>
      </c>
      <c r="D40" s="4">
        <v>473</v>
      </c>
      <c r="E40" s="4">
        <v>3.1</v>
      </c>
      <c r="F40" s="4">
        <v>6</v>
      </c>
      <c r="G40" s="21"/>
      <c r="H40" s="21"/>
      <c r="I40" s="4" t="s">
        <v>422</v>
      </c>
    </row>
    <row r="41" spans="1:9">
      <c r="A41" s="4" t="s">
        <v>445</v>
      </c>
      <c r="B41" s="4">
        <v>52.4</v>
      </c>
      <c r="C41" s="4">
        <v>-43</v>
      </c>
      <c r="D41" s="4">
        <v>76</v>
      </c>
      <c r="E41" s="4">
        <v>7.8</v>
      </c>
      <c r="F41" s="4">
        <v>6</v>
      </c>
      <c r="G41" s="21"/>
      <c r="H41" s="21"/>
      <c r="I41" s="4" t="s">
        <v>422</v>
      </c>
    </row>
    <row r="42" spans="1:9">
      <c r="A42" s="4" t="s">
        <v>446</v>
      </c>
      <c r="B42" s="4">
        <v>45.7</v>
      </c>
      <c r="C42" s="4">
        <v>-27.9</v>
      </c>
      <c r="D42" s="4">
        <v>9</v>
      </c>
      <c r="E42" s="4">
        <v>27</v>
      </c>
      <c r="F42" s="4">
        <v>5</v>
      </c>
      <c r="G42" s="21"/>
      <c r="H42" s="21"/>
      <c r="I42" s="4" t="s">
        <v>422</v>
      </c>
    </row>
    <row r="43" spans="1:9">
      <c r="A43" s="4" t="s">
        <v>447</v>
      </c>
      <c r="B43" s="4">
        <v>46.5</v>
      </c>
      <c r="C43" s="4">
        <v>-51.1</v>
      </c>
      <c r="D43" s="4">
        <v>218</v>
      </c>
      <c r="E43" s="4">
        <v>5.2</v>
      </c>
      <c r="F43" s="4">
        <v>5</v>
      </c>
      <c r="G43" s="21"/>
      <c r="H43" s="21"/>
      <c r="I43" s="4" t="s">
        <v>422</v>
      </c>
    </row>
    <row r="44" spans="1:9">
      <c r="A44" s="4" t="s">
        <v>448</v>
      </c>
      <c r="B44" s="4">
        <v>58.6</v>
      </c>
      <c r="C44" s="4">
        <v>-40.799999999999997</v>
      </c>
      <c r="D44" s="4">
        <v>247</v>
      </c>
      <c r="E44" s="4">
        <v>4.3</v>
      </c>
      <c r="F44" s="4">
        <v>6</v>
      </c>
      <c r="G44" s="21"/>
      <c r="H44" s="21"/>
      <c r="I44" s="4" t="s">
        <v>422</v>
      </c>
    </row>
    <row r="45" spans="1:9">
      <c r="A45" s="4" t="s">
        <v>449</v>
      </c>
      <c r="B45" s="4">
        <v>55.4</v>
      </c>
      <c r="C45" s="4">
        <v>-41</v>
      </c>
      <c r="D45" s="4">
        <v>860</v>
      </c>
      <c r="E45" s="4">
        <v>2.2999999999999998</v>
      </c>
      <c r="F45" s="4">
        <v>6</v>
      </c>
      <c r="G45" s="21"/>
      <c r="H45" s="21"/>
      <c r="I45" s="4" t="s">
        <v>422</v>
      </c>
    </row>
    <row r="46" spans="1:9">
      <c r="A46" s="4" t="s">
        <v>450</v>
      </c>
      <c r="B46" s="4">
        <v>49</v>
      </c>
      <c r="C46" s="4">
        <v>-37.4</v>
      </c>
      <c r="D46" s="4">
        <v>2560</v>
      </c>
      <c r="E46" s="4">
        <v>1.3</v>
      </c>
      <c r="F46" s="4">
        <v>6</v>
      </c>
      <c r="G46" s="21"/>
      <c r="H46" s="21"/>
      <c r="I46" s="4" t="s">
        <v>422</v>
      </c>
    </row>
    <row r="47" spans="1:9">
      <c r="A47" s="4" t="s">
        <v>451</v>
      </c>
      <c r="B47" s="4">
        <v>35.4</v>
      </c>
      <c r="C47" s="4">
        <v>-37</v>
      </c>
      <c r="D47" s="4">
        <v>136</v>
      </c>
      <c r="E47" s="4">
        <v>5.8</v>
      </c>
      <c r="F47" s="4">
        <v>6</v>
      </c>
      <c r="G47" s="21"/>
      <c r="H47" s="21"/>
      <c r="I47" s="4" t="s">
        <v>422</v>
      </c>
    </row>
    <row r="48" spans="1:9">
      <c r="A48" s="4" t="s">
        <v>452</v>
      </c>
      <c r="B48" s="4">
        <v>44.6</v>
      </c>
      <c r="C48" s="4">
        <v>-30.9</v>
      </c>
      <c r="D48" s="4">
        <v>315</v>
      </c>
      <c r="E48" s="4">
        <v>3.8</v>
      </c>
      <c r="F48" s="4">
        <v>6</v>
      </c>
      <c r="G48" s="21"/>
      <c r="H48" s="21"/>
      <c r="I48" s="4" t="s">
        <v>422</v>
      </c>
    </row>
    <row r="49" spans="1:10">
      <c r="A49" s="4" t="s">
        <v>453</v>
      </c>
      <c r="B49" s="4">
        <v>46.7</v>
      </c>
      <c r="C49" s="4">
        <v>-54</v>
      </c>
      <c r="D49" s="4">
        <v>140</v>
      </c>
      <c r="E49" s="4">
        <v>5.7</v>
      </c>
      <c r="F49" s="4">
        <v>6</v>
      </c>
      <c r="G49" s="21"/>
      <c r="H49" s="21"/>
      <c r="I49" s="4" t="s">
        <v>422</v>
      </c>
    </row>
    <row r="50" spans="1:10">
      <c r="A50" s="4" t="s">
        <v>454</v>
      </c>
      <c r="B50" s="4">
        <v>42.9</v>
      </c>
      <c r="C50" s="4">
        <v>-52.7</v>
      </c>
      <c r="D50" s="4">
        <v>1321</v>
      </c>
      <c r="E50" s="4">
        <v>2.1</v>
      </c>
      <c r="F50" s="4">
        <v>5</v>
      </c>
      <c r="G50" s="21"/>
      <c r="H50" s="21"/>
      <c r="I50" s="4" t="s">
        <v>422</v>
      </c>
    </row>
    <row r="51" spans="1:10">
      <c r="A51" s="4" t="s">
        <v>455</v>
      </c>
      <c r="B51" s="4">
        <v>48.7</v>
      </c>
      <c r="C51" s="4">
        <v>-44</v>
      </c>
      <c r="D51" s="4">
        <v>739</v>
      </c>
      <c r="E51" s="4">
        <v>2.5</v>
      </c>
      <c r="F51" s="4">
        <v>6</v>
      </c>
      <c r="G51" s="21"/>
      <c r="H51" s="21"/>
      <c r="I51" s="4" t="s">
        <v>422</v>
      </c>
    </row>
    <row r="52" spans="1:10">
      <c r="A52" s="4" t="s">
        <v>456</v>
      </c>
      <c r="B52" s="4">
        <v>47</v>
      </c>
      <c r="C52" s="4">
        <v>-53</v>
      </c>
      <c r="D52" s="4">
        <v>572</v>
      </c>
      <c r="E52" s="4">
        <v>2.8</v>
      </c>
      <c r="F52" s="4">
        <v>6</v>
      </c>
      <c r="G52" s="21"/>
      <c r="H52" s="21"/>
      <c r="I52" s="4" t="s">
        <v>422</v>
      </c>
    </row>
    <row r="53" spans="1:10">
      <c r="A53" s="4" t="s">
        <v>457</v>
      </c>
      <c r="B53" s="4">
        <v>51.1</v>
      </c>
      <c r="C53" s="4">
        <v>-54.8</v>
      </c>
      <c r="D53" s="4">
        <v>118</v>
      </c>
      <c r="E53" s="4">
        <v>6.2</v>
      </c>
      <c r="F53" s="4">
        <v>6</v>
      </c>
      <c r="G53" s="21"/>
      <c r="H53" s="21"/>
      <c r="I53" s="4" t="s">
        <v>422</v>
      </c>
    </row>
    <row r="54" spans="1:10">
      <c r="A54" s="4" t="s">
        <v>458</v>
      </c>
      <c r="B54" s="4">
        <v>54.3</v>
      </c>
      <c r="C54" s="4">
        <v>-56.6</v>
      </c>
      <c r="D54" s="4">
        <v>589</v>
      </c>
      <c r="E54" s="4">
        <v>3.2</v>
      </c>
      <c r="F54" s="4">
        <v>5</v>
      </c>
      <c r="G54" s="21"/>
      <c r="H54" s="21"/>
      <c r="I54" s="4" t="s">
        <v>422</v>
      </c>
    </row>
    <row r="55" spans="1:10">
      <c r="A55" s="4" t="s">
        <v>459</v>
      </c>
      <c r="B55" s="4">
        <v>45.6</v>
      </c>
      <c r="C55" s="4">
        <v>-57.1</v>
      </c>
      <c r="D55" s="4">
        <v>234</v>
      </c>
      <c r="E55" s="4">
        <v>4.4000000000000004</v>
      </c>
      <c r="F55" s="4">
        <v>6</v>
      </c>
      <c r="G55" s="21"/>
      <c r="H55" s="21"/>
      <c r="I55" s="4" t="s">
        <v>422</v>
      </c>
    </row>
    <row r="56" spans="1:10">
      <c r="A56" s="4" t="s">
        <v>460</v>
      </c>
      <c r="B56" s="4">
        <v>46.1</v>
      </c>
      <c r="C56" s="4">
        <v>-46.3</v>
      </c>
      <c r="D56" s="4">
        <v>193</v>
      </c>
      <c r="E56" s="4">
        <v>4.8</v>
      </c>
      <c r="F56" s="4">
        <v>6</v>
      </c>
      <c r="G56" s="21"/>
      <c r="H56" s="21"/>
      <c r="I56" s="4" t="s">
        <v>422</v>
      </c>
    </row>
    <row r="57" spans="1:10">
      <c r="A57" s="4" t="s">
        <v>461</v>
      </c>
      <c r="B57" s="4">
        <v>46.1</v>
      </c>
      <c r="C57" s="4">
        <v>-51.8</v>
      </c>
      <c r="D57" s="4">
        <v>334</v>
      </c>
      <c r="E57" s="4">
        <v>3.7</v>
      </c>
      <c r="F57" s="4">
        <v>6</v>
      </c>
      <c r="G57" s="21"/>
      <c r="H57" s="21"/>
      <c r="I57" s="4" t="s">
        <v>422</v>
      </c>
    </row>
    <row r="58" spans="1:10">
      <c r="A58" s="4" t="s">
        <v>462</v>
      </c>
      <c r="B58" s="4">
        <v>46.6</v>
      </c>
      <c r="C58" s="4">
        <v>-53.7</v>
      </c>
      <c r="D58" s="4">
        <v>98</v>
      </c>
      <c r="E58" s="4">
        <v>6.8</v>
      </c>
      <c r="F58" s="4">
        <v>6</v>
      </c>
      <c r="G58" s="21"/>
      <c r="H58" s="21"/>
      <c r="I58" s="4" t="s">
        <v>422</v>
      </c>
    </row>
    <row r="59" spans="1:10">
      <c r="A59" s="4" t="s">
        <v>463</v>
      </c>
      <c r="B59" s="4">
        <v>59.4</v>
      </c>
      <c r="C59" s="4">
        <v>-49.1</v>
      </c>
      <c r="D59" s="4">
        <v>86</v>
      </c>
      <c r="E59" s="4">
        <v>7.3</v>
      </c>
      <c r="F59" s="4">
        <v>6</v>
      </c>
      <c r="G59" s="21"/>
      <c r="H59" s="21"/>
      <c r="I59" s="4" t="s">
        <v>422</v>
      </c>
    </row>
    <row r="60" spans="1:10">
      <c r="A60" s="4" t="s">
        <v>464</v>
      </c>
      <c r="B60" s="4">
        <v>60.2</v>
      </c>
      <c r="C60" s="4">
        <v>-46.2</v>
      </c>
      <c r="D60" s="4">
        <v>273</v>
      </c>
      <c r="E60" s="4">
        <v>4.0999999999999996</v>
      </c>
      <c r="F60" s="4">
        <v>6</v>
      </c>
      <c r="G60" s="21"/>
      <c r="H60" s="21"/>
      <c r="I60" s="4" t="s">
        <v>422</v>
      </c>
    </row>
    <row r="61" spans="1:10" s="59" customFormat="1">
      <c r="A61" s="59" t="s">
        <v>465</v>
      </c>
      <c r="B61" s="59">
        <v>38.4</v>
      </c>
      <c r="C61" s="59">
        <v>-38.200000000000003</v>
      </c>
      <c r="F61" s="59">
        <v>21</v>
      </c>
      <c r="G61" s="50">
        <v>0.44114095596562208</v>
      </c>
      <c r="H61" s="50">
        <v>163.08772573413023</v>
      </c>
      <c r="I61" s="59" t="s">
        <v>467</v>
      </c>
      <c r="J61" s="69" t="s">
        <v>466</v>
      </c>
    </row>
    <row r="62" spans="1:10">
      <c r="A62" s="4" t="s">
        <v>468</v>
      </c>
      <c r="B62" s="4">
        <v>59.8</v>
      </c>
      <c r="C62" s="4">
        <v>-47.7</v>
      </c>
      <c r="F62" s="4">
        <v>12</v>
      </c>
      <c r="G62" s="21">
        <v>-12.668830136100624</v>
      </c>
      <c r="H62" s="21">
        <v>146.3719908637201</v>
      </c>
    </row>
    <row r="63" spans="1:10">
      <c r="A63" s="4" t="s">
        <v>469</v>
      </c>
      <c r="B63" s="4">
        <v>45.8</v>
      </c>
      <c r="C63" s="4">
        <v>-51.8</v>
      </c>
      <c r="D63" s="4">
        <v>78</v>
      </c>
      <c r="E63" s="4">
        <v>8</v>
      </c>
      <c r="F63" s="4">
        <v>6</v>
      </c>
      <c r="G63" s="21">
        <v>-11.455605892805323</v>
      </c>
      <c r="H63" s="21">
        <v>159.07372282995544</v>
      </c>
    </row>
    <row r="64" spans="1:10">
      <c r="A64" s="4" t="s">
        <v>470</v>
      </c>
      <c r="B64" s="4">
        <v>40.200000000000003</v>
      </c>
      <c r="C64" s="4">
        <v>-52.2</v>
      </c>
      <c r="D64" s="4">
        <v>22</v>
      </c>
      <c r="E64" s="4">
        <v>16.7</v>
      </c>
      <c r="F64" s="4">
        <v>5</v>
      </c>
      <c r="G64" s="21">
        <v>-11.027880423125112</v>
      </c>
      <c r="H64" s="21">
        <v>161.54604459767469</v>
      </c>
    </row>
    <row r="65" spans="1:13">
      <c r="A65" s="4" t="s">
        <v>471</v>
      </c>
      <c r="B65" s="4">
        <v>51.4</v>
      </c>
      <c r="C65" s="4">
        <v>-41.2</v>
      </c>
      <c r="D65" s="4">
        <v>19</v>
      </c>
      <c r="E65" s="4">
        <v>8.1</v>
      </c>
      <c r="F65" s="4">
        <v>18</v>
      </c>
      <c r="G65" s="21">
        <v>-5.4743234807345402</v>
      </c>
      <c r="H65" s="21">
        <v>150.00996308918971</v>
      </c>
    </row>
    <row r="66" spans="1:13">
      <c r="A66" s="4" t="s">
        <v>472</v>
      </c>
      <c r="B66" s="4">
        <v>37</v>
      </c>
      <c r="C66" s="4">
        <v>-33</v>
      </c>
      <c r="D66" s="4">
        <v>30</v>
      </c>
      <c r="E66" s="4">
        <v>4</v>
      </c>
      <c r="F66" s="4">
        <v>5</v>
      </c>
      <c r="G66" s="21">
        <v>5.0598578865282064</v>
      </c>
      <c r="H66" s="21">
        <v>158.02587562497095</v>
      </c>
    </row>
    <row r="67" spans="1:13">
      <c r="A67" s="4" t="s">
        <v>473</v>
      </c>
      <c r="B67" s="4">
        <v>49.5</v>
      </c>
      <c r="C67" s="4">
        <v>-37.6</v>
      </c>
      <c r="D67" s="4">
        <v>74</v>
      </c>
      <c r="E67" s="4">
        <v>5.3</v>
      </c>
      <c r="F67" s="4">
        <v>11</v>
      </c>
      <c r="G67" s="21">
        <v>-1.4536269716785029</v>
      </c>
      <c r="H67" s="21">
        <v>148.57759807983331</v>
      </c>
    </row>
    <row r="68" spans="1:13">
      <c r="A68" s="4" t="s">
        <v>474</v>
      </c>
      <c r="B68" s="4">
        <v>23.6</v>
      </c>
      <c r="C68" s="4">
        <v>-16.399999999999999</v>
      </c>
      <c r="D68" s="4">
        <v>41</v>
      </c>
      <c r="E68" s="4">
        <v>12.1</v>
      </c>
      <c r="F68" s="4">
        <v>5</v>
      </c>
      <c r="G68" s="21">
        <v>17.827721248016516</v>
      </c>
      <c r="H68" s="21">
        <v>170.2137838364574</v>
      </c>
    </row>
    <row r="69" spans="1:13" ht="13.5">
      <c r="A69" s="4" t="s">
        <v>475</v>
      </c>
      <c r="B69" s="4">
        <v>36.5</v>
      </c>
      <c r="C69" s="4">
        <v>-33.1</v>
      </c>
      <c r="D69" s="4">
        <v>301</v>
      </c>
      <c r="E69" s="4">
        <v>4.4000000000000004</v>
      </c>
      <c r="F69" s="4">
        <v>27</v>
      </c>
      <c r="G69" s="21">
        <v>5.7096532159839199</v>
      </c>
      <c r="H69" s="21">
        <v>158.36412631691891</v>
      </c>
      <c r="I69" s="6"/>
      <c r="J69" s="30"/>
      <c r="K69" s="30"/>
      <c r="L69" s="30"/>
      <c r="M69" s="5"/>
    </row>
    <row r="70" spans="1:13">
      <c r="A70" s="4" t="s">
        <v>476</v>
      </c>
      <c r="B70" s="4">
        <v>31</v>
      </c>
      <c r="C70" s="4">
        <v>-42</v>
      </c>
      <c r="D70" s="4">
        <v>62</v>
      </c>
      <c r="E70" s="4">
        <v>10</v>
      </c>
      <c r="F70" s="4">
        <v>5</v>
      </c>
      <c r="G70" s="21">
        <v>1.3159691794448491</v>
      </c>
      <c r="H70" s="21">
        <v>165.68110692457142</v>
      </c>
    </row>
    <row r="71" spans="1:13">
      <c r="A71" s="4" t="s">
        <v>477</v>
      </c>
      <c r="B71" s="4">
        <v>35.5</v>
      </c>
      <c r="C71" s="4">
        <v>-34</v>
      </c>
      <c r="F71" s="4">
        <v>9</v>
      </c>
      <c r="G71" s="21">
        <v>5.2554386482418636</v>
      </c>
      <c r="H71" s="21">
        <v>168.45612246936898</v>
      </c>
    </row>
    <row r="72" spans="1:13">
      <c r="A72" s="4" t="s">
        <v>478</v>
      </c>
      <c r="B72" s="4">
        <v>46</v>
      </c>
      <c r="C72" s="4">
        <v>-34</v>
      </c>
      <c r="D72" s="4">
        <v>60</v>
      </c>
      <c r="E72" s="4">
        <v>4</v>
      </c>
      <c r="F72" s="4">
        <v>18</v>
      </c>
      <c r="G72" s="21">
        <v>2.1241503919656566</v>
      </c>
      <c r="H72" s="21">
        <v>158.99295101841614</v>
      </c>
    </row>
    <row r="73" spans="1:13">
      <c r="A73" s="4" t="s">
        <v>479</v>
      </c>
      <c r="B73" s="4">
        <v>48.5</v>
      </c>
      <c r="C73" s="4">
        <v>-24.3</v>
      </c>
      <c r="D73" s="4">
        <v>104</v>
      </c>
      <c r="E73" s="4">
        <v>4</v>
      </c>
      <c r="F73" s="4">
        <v>15</v>
      </c>
      <c r="G73" s="21">
        <v>7.273911017919005</v>
      </c>
      <c r="H73" s="21">
        <v>149.66615437871479</v>
      </c>
    </row>
    <row r="74" spans="1:13">
      <c r="A74" s="4" t="s">
        <v>480</v>
      </c>
      <c r="B74" s="4">
        <v>60</v>
      </c>
      <c r="C74" s="4">
        <v>-40</v>
      </c>
      <c r="D74" s="4">
        <v>36</v>
      </c>
      <c r="E74" s="4">
        <v>9.1999999999999993</v>
      </c>
      <c r="F74" s="4">
        <v>58</v>
      </c>
      <c r="G74" s="21">
        <v>-6.1779687627250297</v>
      </c>
      <c r="H74" s="21">
        <v>145.85810929771884</v>
      </c>
    </row>
    <row r="75" spans="1:13">
      <c r="A75" s="4" t="s">
        <v>481</v>
      </c>
      <c r="B75" s="4">
        <v>34.9</v>
      </c>
      <c r="C75" s="4">
        <v>-33.700000000000003</v>
      </c>
      <c r="D75" s="4">
        <v>84</v>
      </c>
      <c r="E75" s="4">
        <v>6.1</v>
      </c>
      <c r="F75" s="4">
        <v>8</v>
      </c>
      <c r="G75" s="21">
        <v>1.8008010098578211</v>
      </c>
      <c r="H75" s="21">
        <v>164.42964967732334</v>
      </c>
    </row>
    <row r="76" spans="1:13">
      <c r="A76" s="4" t="s">
        <v>482</v>
      </c>
      <c r="B76" s="4">
        <v>29.6</v>
      </c>
      <c r="C76" s="4">
        <v>-43.3</v>
      </c>
      <c r="D76" s="4">
        <v>48</v>
      </c>
      <c r="E76" s="4">
        <v>8.1</v>
      </c>
      <c r="F76" s="4">
        <v>8</v>
      </c>
      <c r="G76" s="21">
        <v>-3.0888442373474021</v>
      </c>
      <c r="H76" s="21">
        <v>171.03809484365428</v>
      </c>
    </row>
    <row r="77" spans="1:13">
      <c r="A77" s="4" t="s">
        <v>483</v>
      </c>
      <c r="B77" s="4">
        <v>44.9</v>
      </c>
      <c r="C77" s="4">
        <v>-41.5</v>
      </c>
      <c r="D77" s="4">
        <v>236</v>
      </c>
      <c r="E77" s="4">
        <v>4.4000000000000004</v>
      </c>
      <c r="F77" s="4">
        <v>6</v>
      </c>
      <c r="G77" s="21">
        <v>-5.1540524216774486</v>
      </c>
      <c r="H77" s="21">
        <v>157.14758426583199</v>
      </c>
    </row>
    <row r="78" spans="1:13">
      <c r="A78" s="4" t="s">
        <v>484</v>
      </c>
      <c r="B78" s="4">
        <v>55.6</v>
      </c>
      <c r="C78" s="4">
        <v>-31.8</v>
      </c>
      <c r="D78" s="4">
        <v>17</v>
      </c>
      <c r="E78" s="4">
        <v>14.1</v>
      </c>
      <c r="F78" s="4">
        <v>8</v>
      </c>
      <c r="G78" s="21">
        <v>-2.1380451551350745</v>
      </c>
      <c r="H78" s="21">
        <v>145.83960242048127</v>
      </c>
    </row>
    <row r="79" spans="1:13">
      <c r="A79" s="4" t="s">
        <v>485</v>
      </c>
      <c r="B79" s="4">
        <v>46.7</v>
      </c>
      <c r="C79" s="4">
        <v>-39.1</v>
      </c>
      <c r="D79" s="4">
        <v>65</v>
      </c>
      <c r="E79" s="4">
        <v>8.4</v>
      </c>
      <c r="F79" s="4">
        <v>6</v>
      </c>
      <c r="G79" s="21">
        <v>-3.9456604155039514</v>
      </c>
      <c r="H79" s="21">
        <v>155.88073158997679</v>
      </c>
    </row>
    <row r="80" spans="1:13">
      <c r="A80" s="4" t="s">
        <v>486</v>
      </c>
      <c r="B80" s="4">
        <v>42.7</v>
      </c>
      <c r="C80" s="4">
        <v>-49.6</v>
      </c>
      <c r="D80" s="4">
        <v>39</v>
      </c>
      <c r="E80" s="4">
        <v>6.7</v>
      </c>
      <c r="F80" s="4">
        <v>13</v>
      </c>
      <c r="G80" s="21">
        <v>-10.682899288049967</v>
      </c>
      <c r="H80" s="21">
        <v>161.9052078842391</v>
      </c>
    </row>
    <row r="81" spans="1:8">
      <c r="A81" s="4" t="s">
        <v>487</v>
      </c>
      <c r="B81" s="4">
        <v>55.7</v>
      </c>
      <c r="C81" s="4">
        <v>-59.5</v>
      </c>
      <c r="D81" s="4">
        <v>40</v>
      </c>
      <c r="E81" s="4">
        <v>10.7</v>
      </c>
      <c r="F81" s="4">
        <v>6</v>
      </c>
      <c r="G81" s="21">
        <v>-23.560431351183638</v>
      </c>
      <c r="H81" s="21">
        <v>154.77098440255475</v>
      </c>
    </row>
    <row r="82" spans="1:8">
      <c r="A82" s="4" t="s">
        <v>488</v>
      </c>
      <c r="B82" s="4">
        <v>56.5</v>
      </c>
      <c r="C82" s="4">
        <v>-52.8</v>
      </c>
      <c r="D82" s="4">
        <v>341</v>
      </c>
      <c r="E82" s="4">
        <v>3.3</v>
      </c>
      <c r="F82" s="4">
        <v>7</v>
      </c>
      <c r="G82" s="21">
        <v>-17.356053089096633</v>
      </c>
      <c r="H82" s="21">
        <v>151.71750050051963</v>
      </c>
    </row>
    <row r="83" spans="1:8">
      <c r="A83" s="4" t="s">
        <v>489</v>
      </c>
      <c r="B83" s="4">
        <v>40.299999999999997</v>
      </c>
      <c r="C83" s="4">
        <v>-56.7</v>
      </c>
      <c r="D83" s="4">
        <v>37</v>
      </c>
      <c r="E83" s="4">
        <v>11.1</v>
      </c>
      <c r="F83" s="4">
        <v>6</v>
      </c>
      <c r="G83" s="21">
        <v>-16.583575174743274</v>
      </c>
      <c r="H83" s="21">
        <v>165.97075084875866</v>
      </c>
    </row>
    <row r="84" spans="1:8">
      <c r="A84" s="4" t="s">
        <v>490</v>
      </c>
      <c r="B84" s="4">
        <v>46</v>
      </c>
      <c r="C84" s="4">
        <v>-38.5</v>
      </c>
      <c r="D84" s="4">
        <v>32</v>
      </c>
      <c r="E84" s="4">
        <v>13.8</v>
      </c>
      <c r="F84" s="4">
        <v>5</v>
      </c>
      <c r="G84" s="21">
        <v>-3.1395652632148767</v>
      </c>
      <c r="H84" s="21">
        <v>155.44770988771597</v>
      </c>
    </row>
    <row r="85" spans="1:8">
      <c r="A85" s="4" t="s">
        <v>491</v>
      </c>
      <c r="B85" s="4">
        <v>15</v>
      </c>
      <c r="C85" s="4">
        <v>-20.6</v>
      </c>
      <c r="D85" s="4">
        <v>54</v>
      </c>
      <c r="E85" s="4">
        <v>3.3</v>
      </c>
      <c r="F85" s="4">
        <v>6</v>
      </c>
      <c r="G85" s="21">
        <v>14.514601390710439</v>
      </c>
      <c r="H85" s="21">
        <v>181.77658722606495</v>
      </c>
    </row>
    <row r="86" spans="1:8">
      <c r="A86" s="4" t="s">
        <v>492</v>
      </c>
      <c r="B86" s="4">
        <v>55.1</v>
      </c>
      <c r="C86" s="4">
        <v>-38.299999999999997</v>
      </c>
      <c r="D86" s="4">
        <v>216</v>
      </c>
      <c r="E86" s="4">
        <v>3.3</v>
      </c>
      <c r="F86" s="4">
        <v>10</v>
      </c>
      <c r="G86" s="21">
        <v>-5.0614744668550742</v>
      </c>
      <c r="H86" s="21">
        <v>149.04013916745762</v>
      </c>
    </row>
    <row r="87" spans="1:8">
      <c r="A87" s="4" t="s">
        <v>493</v>
      </c>
      <c r="B87" s="4">
        <v>48.7</v>
      </c>
      <c r="C87" s="4">
        <v>-52.4</v>
      </c>
      <c r="D87" s="4">
        <v>117</v>
      </c>
      <c r="E87" s="4">
        <v>4.8</v>
      </c>
      <c r="F87" s="4">
        <v>9</v>
      </c>
      <c r="G87" s="21">
        <v>-13.800243281929355</v>
      </c>
      <c r="H87" s="21">
        <v>158.12622240264113</v>
      </c>
    </row>
    <row r="88" spans="1:8">
      <c r="A88" s="4" t="s">
        <v>494</v>
      </c>
      <c r="B88" s="4">
        <v>39.700000000000003</v>
      </c>
      <c r="C88" s="4">
        <v>-38.299999999999997</v>
      </c>
      <c r="D88" s="4">
        <v>54</v>
      </c>
      <c r="E88" s="4">
        <v>9.1999999999999993</v>
      </c>
      <c r="F88" s="4">
        <v>6</v>
      </c>
      <c r="G88" s="21">
        <v>-0.11912304375721305</v>
      </c>
      <c r="H88" s="21">
        <v>162.16963247668895</v>
      </c>
    </row>
    <row r="89" spans="1:8">
      <c r="A89" s="4" t="s">
        <v>495</v>
      </c>
      <c r="B89" s="4">
        <v>49.1</v>
      </c>
      <c r="C89" s="4">
        <v>-51.7</v>
      </c>
      <c r="D89" s="4">
        <v>178</v>
      </c>
      <c r="E89" s="4">
        <v>3.3</v>
      </c>
      <c r="F89" s="4">
        <v>12</v>
      </c>
      <c r="G89" s="21">
        <v>-12.53929471453786</v>
      </c>
      <c r="H89" s="21">
        <v>156.70878174135197</v>
      </c>
    </row>
    <row r="90" spans="1:8">
      <c r="A90" s="4" t="s">
        <v>496</v>
      </c>
      <c r="B90" s="4">
        <v>39.9</v>
      </c>
      <c r="C90" s="4">
        <v>-36.1</v>
      </c>
      <c r="D90" s="4">
        <v>53</v>
      </c>
      <c r="E90" s="4">
        <v>7.7</v>
      </c>
      <c r="F90" s="4">
        <v>8</v>
      </c>
      <c r="G90" s="21">
        <v>1.1809485434688014</v>
      </c>
      <c r="H90" s="21">
        <v>158.47144035161921</v>
      </c>
    </row>
    <row r="91" spans="1:8">
      <c r="A91" s="4" t="s">
        <v>497</v>
      </c>
      <c r="B91" s="4">
        <v>39.5</v>
      </c>
      <c r="C91" s="4">
        <v>-44.9</v>
      </c>
      <c r="D91" s="4">
        <v>125</v>
      </c>
      <c r="E91" s="4">
        <v>5.4</v>
      </c>
      <c r="F91" s="4">
        <v>7</v>
      </c>
      <c r="G91" s="21">
        <v>-4.8898443595968217</v>
      </c>
      <c r="H91" s="21">
        <v>160.34198313900112</v>
      </c>
    </row>
    <row r="92" spans="1:8">
      <c r="A92" s="4" t="s">
        <v>498</v>
      </c>
      <c r="B92" s="4">
        <v>48.7</v>
      </c>
      <c r="C92" s="4">
        <v>-29</v>
      </c>
      <c r="D92" s="4">
        <v>29</v>
      </c>
      <c r="E92" s="4">
        <v>10.5</v>
      </c>
      <c r="F92" s="4">
        <v>8</v>
      </c>
      <c r="G92" s="21">
        <v>2.8483881721709139</v>
      </c>
      <c r="H92" s="21">
        <v>148.61211177368068</v>
      </c>
    </row>
    <row r="93" spans="1:8">
      <c r="A93" s="4" t="s">
        <v>499</v>
      </c>
      <c r="B93" s="4">
        <v>39.799999999999997</v>
      </c>
      <c r="C93" s="4">
        <v>-37.5</v>
      </c>
      <c r="D93" s="4">
        <v>90</v>
      </c>
      <c r="E93" s="4">
        <v>7.1</v>
      </c>
      <c r="F93" s="4">
        <v>6</v>
      </c>
      <c r="G93" s="21">
        <v>0.35557521440209428</v>
      </c>
      <c r="H93" s="21">
        <v>158.24854670721055</v>
      </c>
    </row>
    <row r="94" spans="1:8">
      <c r="A94" s="4" t="s">
        <v>500</v>
      </c>
      <c r="B94" s="4">
        <v>29</v>
      </c>
      <c r="C94" s="4">
        <v>-26</v>
      </c>
      <c r="D94" s="4">
        <v>43</v>
      </c>
      <c r="E94" s="4">
        <v>6</v>
      </c>
      <c r="F94" s="4">
        <v>15</v>
      </c>
      <c r="G94" s="21">
        <v>10.190815489240478</v>
      </c>
      <c r="H94" s="21">
        <v>165.93886328242584</v>
      </c>
    </row>
    <row r="95" spans="1:8">
      <c r="A95" s="4" t="s">
        <v>501</v>
      </c>
      <c r="B95" s="4">
        <v>37.200000000000003</v>
      </c>
      <c r="C95" s="4">
        <v>-28.9</v>
      </c>
      <c r="D95" s="4">
        <v>22</v>
      </c>
      <c r="E95" s="4">
        <v>13.1</v>
      </c>
      <c r="F95" s="4">
        <v>7</v>
      </c>
      <c r="G95" s="21">
        <v>6.6942652534764022</v>
      </c>
      <c r="H95" s="21">
        <v>159.8492568767924</v>
      </c>
    </row>
    <row r="96" spans="1:8">
      <c r="A96" s="4" t="s">
        <v>502</v>
      </c>
      <c r="B96" s="4">
        <v>46.8</v>
      </c>
      <c r="C96" s="4">
        <v>-58.7</v>
      </c>
      <c r="D96" s="4">
        <v>41</v>
      </c>
      <c r="E96" s="4">
        <v>12.1</v>
      </c>
      <c r="F96" s="4">
        <v>5</v>
      </c>
      <c r="G96" s="21">
        <v>-18.730823009988342</v>
      </c>
      <c r="H96" s="21">
        <v>159.46125551064938</v>
      </c>
    </row>
    <row r="97" spans="1:10">
      <c r="A97" s="4" t="s">
        <v>503</v>
      </c>
      <c r="B97" s="4">
        <v>46</v>
      </c>
      <c r="C97" s="4">
        <v>-18</v>
      </c>
      <c r="D97" s="4">
        <v>43</v>
      </c>
      <c r="E97" s="4">
        <v>8</v>
      </c>
      <c r="F97" s="4">
        <v>10</v>
      </c>
      <c r="G97" s="21">
        <v>9.9795076894920953</v>
      </c>
      <c r="H97" s="21">
        <v>148.36795763453944</v>
      </c>
    </row>
    <row r="98" spans="1:10">
      <c r="A98" s="4" t="s">
        <v>504</v>
      </c>
      <c r="B98" s="4">
        <v>44.7</v>
      </c>
      <c r="C98" s="4">
        <v>-59.2</v>
      </c>
      <c r="D98" s="4">
        <v>50</v>
      </c>
      <c r="E98" s="4">
        <v>9.6</v>
      </c>
      <c r="F98" s="4">
        <v>6</v>
      </c>
      <c r="G98" s="21">
        <v>-18.583904578815307</v>
      </c>
      <c r="H98" s="21">
        <v>161.37952835807232</v>
      </c>
    </row>
    <row r="99" spans="1:10">
      <c r="A99" s="4" t="s">
        <v>505</v>
      </c>
      <c r="B99" s="4">
        <v>31</v>
      </c>
      <c r="C99" s="4">
        <v>-19</v>
      </c>
      <c r="D99" s="4">
        <v>38</v>
      </c>
      <c r="E99" s="4">
        <v>8</v>
      </c>
      <c r="F99" s="4">
        <v>10</v>
      </c>
      <c r="G99" s="21">
        <v>13.945827350822086</v>
      </c>
      <c r="H99" s="21">
        <v>162.96722346191839</v>
      </c>
    </row>
    <row r="100" spans="1:10">
      <c r="A100" s="4" t="s">
        <v>506</v>
      </c>
      <c r="B100" s="4">
        <v>61.2</v>
      </c>
      <c r="C100" s="4">
        <v>-73.3</v>
      </c>
      <c r="D100" s="4">
        <v>110</v>
      </c>
      <c r="E100" s="4">
        <v>5.3</v>
      </c>
      <c r="F100" s="4">
        <v>8</v>
      </c>
      <c r="G100" s="21">
        <v>-40.154547367177969</v>
      </c>
      <c r="H100" s="21">
        <v>159.31945954569522</v>
      </c>
    </row>
    <row r="101" spans="1:10">
      <c r="A101" s="4" t="s">
        <v>507</v>
      </c>
      <c r="B101" s="4">
        <v>32.200000000000003</v>
      </c>
      <c r="C101" s="4">
        <v>-40.1</v>
      </c>
      <c r="D101" s="4">
        <v>23</v>
      </c>
      <c r="E101" s="4">
        <v>14.4</v>
      </c>
      <c r="F101" s="4">
        <v>6</v>
      </c>
      <c r="G101" s="21">
        <v>1.0596704261352414</v>
      </c>
      <c r="H101" s="21">
        <v>166.89025150272553</v>
      </c>
    </row>
    <row r="102" spans="1:10">
      <c r="A102" s="4" t="s">
        <v>508</v>
      </c>
      <c r="B102" s="4">
        <v>28</v>
      </c>
      <c r="C102" s="4">
        <v>-16</v>
      </c>
      <c r="D102" s="4">
        <v>54</v>
      </c>
      <c r="E102" s="4">
        <v>7</v>
      </c>
      <c r="F102" s="4">
        <v>10</v>
      </c>
      <c r="G102" s="21">
        <v>16.349731130101176</v>
      </c>
      <c r="H102" s="21">
        <v>166.12310737689401</v>
      </c>
    </row>
    <row r="103" spans="1:10">
      <c r="A103" s="4" t="s">
        <v>509</v>
      </c>
      <c r="B103" s="4">
        <v>28</v>
      </c>
      <c r="C103" s="4">
        <v>-34</v>
      </c>
      <c r="D103" s="4">
        <v>77</v>
      </c>
      <c r="E103" s="4">
        <v>4</v>
      </c>
      <c r="F103" s="4">
        <v>16</v>
      </c>
      <c r="G103" s="21">
        <v>6.2973667988525222</v>
      </c>
      <c r="H103" s="21">
        <v>167.91311934750021</v>
      </c>
    </row>
    <row r="104" spans="1:10">
      <c r="A104" s="4" t="s">
        <v>510</v>
      </c>
      <c r="B104" s="4">
        <v>39.5</v>
      </c>
      <c r="C104" s="4">
        <v>-40.799999999999997</v>
      </c>
      <c r="D104" s="4">
        <v>77</v>
      </c>
      <c r="E104" s="4">
        <v>5.5</v>
      </c>
      <c r="F104" s="4">
        <v>10</v>
      </c>
      <c r="G104" s="21">
        <v>-0.25922954473116988</v>
      </c>
      <c r="H104" s="21">
        <v>166.16661679909302</v>
      </c>
    </row>
    <row r="105" spans="1:10">
      <c r="A105" s="4" t="s">
        <v>511</v>
      </c>
      <c r="B105" s="4">
        <v>46.3</v>
      </c>
      <c r="C105" s="4">
        <v>-37.6</v>
      </c>
      <c r="D105" s="4">
        <v>297</v>
      </c>
      <c r="E105" s="4">
        <v>2.8</v>
      </c>
      <c r="F105" s="4">
        <v>10</v>
      </c>
      <c r="G105" s="21">
        <v>-0.13461920330330202</v>
      </c>
      <c r="H105" s="21">
        <v>159.67058900779784</v>
      </c>
    </row>
    <row r="106" spans="1:10">
      <c r="A106" s="4" t="s">
        <v>512</v>
      </c>
      <c r="B106" s="4">
        <v>53.2</v>
      </c>
      <c r="C106" s="4">
        <v>-36.6</v>
      </c>
      <c r="D106" s="4">
        <v>103</v>
      </c>
      <c r="E106" s="4">
        <v>4.8</v>
      </c>
      <c r="F106" s="4">
        <v>10</v>
      </c>
      <c r="G106" s="21">
        <v>-1.9318383146055851</v>
      </c>
      <c r="H106" s="21">
        <v>153.49631423773249</v>
      </c>
    </row>
    <row r="107" spans="1:10">
      <c r="A107" s="4" t="s">
        <v>513</v>
      </c>
      <c r="B107" s="4">
        <v>41.8</v>
      </c>
      <c r="C107" s="4">
        <v>-48.8</v>
      </c>
      <c r="D107" s="4">
        <v>43</v>
      </c>
      <c r="E107" s="4">
        <v>7.4</v>
      </c>
      <c r="F107" s="4">
        <v>10</v>
      </c>
      <c r="G107" s="21">
        <v>-7.1159502815344382</v>
      </c>
      <c r="H107" s="21">
        <v>166.21874344378458</v>
      </c>
    </row>
    <row r="108" spans="1:10">
      <c r="A108" s="4" t="s">
        <v>514</v>
      </c>
      <c r="B108" s="4">
        <v>47.4</v>
      </c>
      <c r="C108" s="4">
        <v>-44.5</v>
      </c>
      <c r="D108" s="4">
        <v>99</v>
      </c>
      <c r="E108" s="4">
        <v>4.4000000000000004</v>
      </c>
      <c r="F108" s="4">
        <v>12</v>
      </c>
      <c r="G108" s="21">
        <v>-5.5379689476141891</v>
      </c>
      <c r="H108" s="21">
        <v>160.08321675850644</v>
      </c>
    </row>
    <row r="109" spans="1:10">
      <c r="A109" s="4" t="s">
        <v>515</v>
      </c>
      <c r="B109" s="4">
        <v>42.8</v>
      </c>
      <c r="C109" s="4">
        <v>-36.4</v>
      </c>
      <c r="D109" s="4">
        <v>139</v>
      </c>
      <c r="E109" s="4">
        <v>4.0999999999999996</v>
      </c>
      <c r="F109" s="4">
        <v>10</v>
      </c>
      <c r="G109" s="21">
        <v>1.5597728544719587</v>
      </c>
      <c r="H109" s="21">
        <v>162.04636491193634</v>
      </c>
    </row>
    <row r="110" spans="1:10">
      <c r="A110" s="4" t="s">
        <v>516</v>
      </c>
      <c r="B110" s="4">
        <v>41.4</v>
      </c>
      <c r="C110" s="4">
        <v>-36.700000000000003</v>
      </c>
      <c r="D110" s="4">
        <v>119</v>
      </c>
      <c r="E110" s="4">
        <v>5.6</v>
      </c>
      <c r="F110" s="4">
        <v>7</v>
      </c>
      <c r="G110" s="21">
        <v>1.7655776416560229</v>
      </c>
      <c r="H110" s="21">
        <v>163.51608780940813</v>
      </c>
    </row>
    <row r="111" spans="1:10">
      <c r="A111" s="59" t="s">
        <v>517</v>
      </c>
      <c r="B111" s="59">
        <v>21.2</v>
      </c>
      <c r="C111" s="59">
        <v>-34.799999999999997</v>
      </c>
      <c r="D111" s="59">
        <v>87</v>
      </c>
      <c r="E111" s="59">
        <v>4</v>
      </c>
      <c r="F111" s="59">
        <v>16</v>
      </c>
      <c r="G111" s="50">
        <v>6.067905912634572</v>
      </c>
      <c r="H111" s="50">
        <v>175.44904597151134</v>
      </c>
      <c r="I111" s="59"/>
      <c r="J111" s="59"/>
    </row>
    <row r="112" spans="1:10">
      <c r="A112" s="59" t="s">
        <v>518</v>
      </c>
      <c r="B112" s="59">
        <v>15.3</v>
      </c>
      <c r="C112" s="59">
        <v>-49.2</v>
      </c>
      <c r="D112" s="59">
        <v>68</v>
      </c>
      <c r="E112" s="59">
        <v>3.1</v>
      </c>
      <c r="F112" s="59">
        <v>32</v>
      </c>
      <c r="G112" s="50">
        <v>-3.3748310571130986</v>
      </c>
      <c r="H112" s="50">
        <v>181.58775649936965</v>
      </c>
      <c r="I112" s="59"/>
      <c r="J112" s="59"/>
    </row>
    <row r="113" spans="1:10">
      <c r="A113" s="59" t="s">
        <v>519</v>
      </c>
      <c r="B113" s="59">
        <v>15.9</v>
      </c>
      <c r="C113" s="59">
        <v>-34.6</v>
      </c>
      <c r="D113" s="59">
        <v>36</v>
      </c>
      <c r="E113" s="59">
        <v>11.3</v>
      </c>
      <c r="F113" s="59">
        <v>6</v>
      </c>
      <c r="G113" s="50">
        <v>9.2595927938277072</v>
      </c>
      <c r="H113" s="50">
        <v>181.96718567982921</v>
      </c>
      <c r="I113" s="59"/>
      <c r="J113" s="59"/>
    </row>
  </sheetData>
  <phoneticPr fontId="19" type="noConversion"/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26DB5B-57F1-437E-8300-FFC0D48BB019}">
  <dimension ref="A1:J79"/>
  <sheetViews>
    <sheetView workbookViewId="0">
      <pane ySplit="1" topLeftCell="A23" activePane="bottomLeft" state="frozen"/>
      <selection activeCell="I1" sqref="I1:I1048576"/>
      <selection pane="bottomLeft" sqref="A1:A1048576"/>
    </sheetView>
  </sheetViews>
  <sheetFormatPr defaultColWidth="8.81640625" defaultRowHeight="12.5"/>
  <cols>
    <col min="1" max="6" width="8.81640625" style="4"/>
    <col min="7" max="8" width="9.1796875" style="21"/>
    <col min="9" max="9" width="8.81640625" style="4"/>
    <col min="10" max="10" width="15.81640625" style="4" customWidth="1"/>
    <col min="11" max="16384" width="8.81640625" style="4"/>
  </cols>
  <sheetData>
    <row r="1" spans="1:10">
      <c r="A1" s="62" t="s">
        <v>0</v>
      </c>
      <c r="B1" s="56" t="s">
        <v>1</v>
      </c>
      <c r="C1" s="56" t="s">
        <v>2</v>
      </c>
      <c r="D1" s="56" t="s">
        <v>3</v>
      </c>
      <c r="E1" s="56" t="s">
        <v>4</v>
      </c>
      <c r="F1" s="56" t="s">
        <v>5</v>
      </c>
      <c r="G1" s="64" t="s">
        <v>6</v>
      </c>
      <c r="H1" s="64" t="s">
        <v>7</v>
      </c>
      <c r="I1" s="4" t="s">
        <v>9</v>
      </c>
      <c r="J1" s="4" t="s">
        <v>8</v>
      </c>
    </row>
    <row r="2" spans="1:10">
      <c r="A2" s="4" t="s">
        <v>520</v>
      </c>
      <c r="B2" s="4">
        <v>34.6</v>
      </c>
      <c r="C2" s="4">
        <v>-35.200000000000003</v>
      </c>
      <c r="D2" s="4">
        <v>28.8</v>
      </c>
      <c r="E2" s="4">
        <v>10.5</v>
      </c>
      <c r="F2" s="4">
        <v>8</v>
      </c>
      <c r="G2" s="21">
        <v>9.8568983226386138</v>
      </c>
      <c r="H2" s="21">
        <v>161.81351328732802</v>
      </c>
      <c r="J2" s="4" t="s">
        <v>351</v>
      </c>
    </row>
    <row r="3" spans="1:10">
      <c r="A3" s="4" t="s">
        <v>521</v>
      </c>
      <c r="B3" s="4">
        <v>23.8</v>
      </c>
      <c r="C3" s="4">
        <v>-41.8</v>
      </c>
      <c r="D3" s="4">
        <v>12</v>
      </c>
      <c r="E3" s="4">
        <v>23</v>
      </c>
      <c r="F3" s="4">
        <v>5</v>
      </c>
      <c r="G3" s="21">
        <v>8.2218941000204211</v>
      </c>
      <c r="H3" s="21">
        <v>172.88260505533452</v>
      </c>
      <c r="J3" s="4" t="s">
        <v>351</v>
      </c>
    </row>
    <row r="4" spans="1:10">
      <c r="A4" s="4" t="s">
        <v>522</v>
      </c>
      <c r="B4" s="4">
        <v>30</v>
      </c>
      <c r="C4" s="4">
        <v>-36.4</v>
      </c>
      <c r="D4" s="4">
        <v>14.1</v>
      </c>
      <c r="E4" s="4">
        <v>16.7</v>
      </c>
      <c r="F4" s="4">
        <v>7</v>
      </c>
      <c r="G4" s="21">
        <v>10.302059231414248</v>
      </c>
      <c r="H4" s="21">
        <v>166.33965437823835</v>
      </c>
      <c r="J4" s="4" t="s">
        <v>351</v>
      </c>
    </row>
    <row r="5" spans="1:10">
      <c r="A5" s="4" t="s">
        <v>523</v>
      </c>
      <c r="B5" s="4">
        <v>15</v>
      </c>
      <c r="C5" s="4">
        <v>-39.6</v>
      </c>
      <c r="D5" s="4">
        <v>39</v>
      </c>
      <c r="E5" s="4">
        <v>10.9</v>
      </c>
      <c r="F5" s="4">
        <v>6</v>
      </c>
      <c r="G5" s="21">
        <v>11.230816154112517</v>
      </c>
      <c r="H5" s="21">
        <v>180.73095934012397</v>
      </c>
      <c r="J5" s="4" t="s">
        <v>351</v>
      </c>
    </row>
    <row r="6" spans="1:10">
      <c r="A6" s="4" t="s">
        <v>524</v>
      </c>
      <c r="B6" s="4">
        <v>12.3</v>
      </c>
      <c r="C6" s="4">
        <v>-38.700000000000003</v>
      </c>
      <c r="D6" s="4">
        <v>18.600000000000001</v>
      </c>
      <c r="E6" s="4">
        <v>12.3</v>
      </c>
      <c r="F6" s="4">
        <v>9</v>
      </c>
      <c r="G6" s="21">
        <v>12.210130924127142</v>
      </c>
      <c r="H6" s="21">
        <v>183.17066697677848</v>
      </c>
      <c r="J6" s="4" t="s">
        <v>351</v>
      </c>
    </row>
    <row r="7" spans="1:10">
      <c r="A7" s="4" t="s">
        <v>525</v>
      </c>
      <c r="B7" s="4">
        <v>356.8</v>
      </c>
      <c r="C7" s="4">
        <v>-36.6</v>
      </c>
      <c r="D7" s="4">
        <v>23.8</v>
      </c>
      <c r="E7" s="4">
        <v>19.2</v>
      </c>
      <c r="F7" s="4">
        <v>4</v>
      </c>
      <c r="G7" s="21">
        <v>14.332108666056399</v>
      </c>
      <c r="H7" s="21">
        <v>197.94011491594307</v>
      </c>
      <c r="J7" s="4" t="s">
        <v>351</v>
      </c>
    </row>
    <row r="8" spans="1:10">
      <c r="A8" s="4" t="s">
        <v>526</v>
      </c>
      <c r="B8" s="4">
        <v>357.1</v>
      </c>
      <c r="C8" s="4">
        <v>-51.1</v>
      </c>
      <c r="D8" s="4">
        <v>74.7</v>
      </c>
      <c r="E8" s="4">
        <v>14.4</v>
      </c>
      <c r="F8" s="4">
        <v>3</v>
      </c>
      <c r="G8" s="21">
        <v>2.9326921183803734</v>
      </c>
      <c r="H8" s="21">
        <v>197.31203872425633</v>
      </c>
      <c r="J8" s="4" t="s">
        <v>351</v>
      </c>
    </row>
    <row r="9" spans="1:10">
      <c r="A9" s="4" t="s">
        <v>527</v>
      </c>
      <c r="B9" s="4">
        <v>35.6</v>
      </c>
      <c r="C9" s="4">
        <v>-36.4</v>
      </c>
      <c r="D9" s="4">
        <v>59.4</v>
      </c>
      <c r="E9" s="4">
        <v>7.2</v>
      </c>
      <c r="F9" s="4">
        <v>8</v>
      </c>
      <c r="G9" s="21">
        <v>8.6673347540343002</v>
      </c>
      <c r="H9" s="21">
        <v>161.30307716866031</v>
      </c>
      <c r="J9" s="4" t="s">
        <v>351</v>
      </c>
    </row>
    <row r="10" spans="1:10">
      <c r="A10" s="4" t="s">
        <v>528</v>
      </c>
      <c r="B10" s="4">
        <v>41.6</v>
      </c>
      <c r="C10" s="4">
        <v>-40.700000000000003</v>
      </c>
      <c r="D10" s="4">
        <v>49.9</v>
      </c>
      <c r="E10" s="4">
        <v>9.6</v>
      </c>
      <c r="F10" s="4">
        <v>6</v>
      </c>
      <c r="G10" s="21">
        <v>3.8403860166980763</v>
      </c>
      <c r="H10" s="21">
        <v>157.15943994737557</v>
      </c>
      <c r="J10" s="4" t="s">
        <v>351</v>
      </c>
    </row>
    <row r="11" spans="1:10">
      <c r="A11" s="4" t="s">
        <v>529</v>
      </c>
      <c r="B11" s="4">
        <v>37.6</v>
      </c>
      <c r="C11" s="4">
        <v>-54</v>
      </c>
      <c r="D11" s="4">
        <v>154</v>
      </c>
      <c r="E11" s="4">
        <v>5.4</v>
      </c>
      <c r="F11" s="4">
        <v>6</v>
      </c>
      <c r="G11" s="21">
        <v>-5.3796564605167418</v>
      </c>
      <c r="H11" s="21">
        <v>164.52082360466935</v>
      </c>
      <c r="J11" s="4" t="s">
        <v>351</v>
      </c>
    </row>
    <row r="12" spans="1:10">
      <c r="A12" s="4" t="s">
        <v>530</v>
      </c>
      <c r="B12" s="4">
        <v>6.7</v>
      </c>
      <c r="C12" s="4">
        <v>2.6</v>
      </c>
      <c r="D12" s="4">
        <v>35.299999999999997</v>
      </c>
      <c r="E12" s="4">
        <v>9.5</v>
      </c>
      <c r="F12" s="4">
        <v>8</v>
      </c>
      <c r="G12" s="21">
        <v>35.783273294652147</v>
      </c>
      <c r="H12" s="21">
        <v>186.58826401147377</v>
      </c>
      <c r="J12" s="4" t="s">
        <v>351</v>
      </c>
    </row>
    <row r="13" spans="1:10">
      <c r="A13" s="4" t="s">
        <v>531</v>
      </c>
      <c r="B13" s="4">
        <v>10.5</v>
      </c>
      <c r="C13" s="4">
        <v>-22.1</v>
      </c>
      <c r="D13" s="4">
        <v>55.6</v>
      </c>
      <c r="E13" s="4">
        <v>10.4</v>
      </c>
      <c r="F13" s="4">
        <v>5</v>
      </c>
      <c r="G13" s="21">
        <v>22.698999693619413</v>
      </c>
      <c r="H13" s="21">
        <v>183.69186101570477</v>
      </c>
      <c r="J13" s="4" t="s">
        <v>351</v>
      </c>
    </row>
    <row r="14" spans="1:10">
      <c r="A14" s="4" t="s">
        <v>532</v>
      </c>
      <c r="B14" s="4">
        <v>67.900000000000006</v>
      </c>
      <c r="C14" s="4">
        <v>-33.5</v>
      </c>
      <c r="D14" s="4">
        <v>36.1</v>
      </c>
      <c r="E14" s="4">
        <v>10.199999999999999</v>
      </c>
      <c r="F14" s="4">
        <v>7</v>
      </c>
      <c r="G14" s="21">
        <v>-3.0822470633779346</v>
      </c>
      <c r="H14" s="21">
        <v>133.3316541099596</v>
      </c>
      <c r="J14" s="4" t="s">
        <v>351</v>
      </c>
    </row>
    <row r="15" spans="1:10">
      <c r="A15" s="4" t="s">
        <v>533</v>
      </c>
      <c r="B15" s="4">
        <v>39.200000000000003</v>
      </c>
      <c r="C15" s="4">
        <v>-36.200000000000003</v>
      </c>
      <c r="D15" s="4">
        <v>39.700000000000003</v>
      </c>
      <c r="E15" s="4">
        <v>8.9</v>
      </c>
      <c r="F15" s="4">
        <v>8</v>
      </c>
      <c r="G15" s="21">
        <v>7.6968015596100372</v>
      </c>
      <c r="H15" s="21">
        <v>158.32657572935918</v>
      </c>
      <c r="J15" s="4" t="s">
        <v>351</v>
      </c>
    </row>
    <row r="16" spans="1:10">
      <c r="A16" s="4" t="s">
        <v>534</v>
      </c>
      <c r="B16" s="4">
        <v>51.2</v>
      </c>
      <c r="C16" s="4">
        <v>-51.2</v>
      </c>
      <c r="D16" s="4">
        <v>117</v>
      </c>
      <c r="E16" s="4">
        <v>7.1</v>
      </c>
      <c r="F16" s="4">
        <v>5</v>
      </c>
      <c r="G16" s="21">
        <v>-7.4248537137728192</v>
      </c>
      <c r="H16" s="21">
        <v>153.25219242841951</v>
      </c>
      <c r="J16" s="4" t="s">
        <v>351</v>
      </c>
    </row>
    <row r="17" spans="1:10">
      <c r="A17" s="4" t="s">
        <v>535</v>
      </c>
      <c r="B17" s="4">
        <v>40.4</v>
      </c>
      <c r="C17" s="4">
        <v>-41.1</v>
      </c>
      <c r="D17" s="4">
        <v>145</v>
      </c>
      <c r="E17" s="4">
        <v>5.6</v>
      </c>
      <c r="F17" s="4">
        <v>6</v>
      </c>
      <c r="G17" s="21">
        <v>4.0642065615735419</v>
      </c>
      <c r="H17" s="21">
        <v>158.56603927802777</v>
      </c>
      <c r="J17" s="4" t="s">
        <v>351</v>
      </c>
    </row>
    <row r="18" spans="1:10">
      <c r="A18" s="4" t="s">
        <v>536</v>
      </c>
      <c r="B18" s="4">
        <v>56.4</v>
      </c>
      <c r="C18" s="4">
        <v>-51.9</v>
      </c>
      <c r="D18" s="4">
        <v>1179</v>
      </c>
      <c r="E18" s="4">
        <v>3.6</v>
      </c>
      <c r="F18" s="4">
        <v>3</v>
      </c>
      <c r="G18" s="21">
        <v>-10.050719601383022</v>
      </c>
      <c r="H18" s="21">
        <v>149.62050212742366</v>
      </c>
      <c r="J18" s="4" t="s">
        <v>351</v>
      </c>
    </row>
    <row r="19" spans="1:10">
      <c r="A19" s="4" t="s">
        <v>537</v>
      </c>
      <c r="B19" s="4">
        <v>46.5</v>
      </c>
      <c r="C19" s="4">
        <v>-37.9</v>
      </c>
      <c r="D19" s="4">
        <v>10.9</v>
      </c>
      <c r="E19" s="4">
        <v>21.3</v>
      </c>
      <c r="F19" s="4">
        <v>6</v>
      </c>
      <c r="G19" s="21">
        <v>3.9527533808181801</v>
      </c>
      <c r="H19" s="21">
        <v>152.4578603315733</v>
      </c>
      <c r="J19" s="4" t="s">
        <v>351</v>
      </c>
    </row>
    <row r="20" spans="1:10">
      <c r="A20" s="4" t="s">
        <v>538</v>
      </c>
      <c r="B20" s="4">
        <v>69</v>
      </c>
      <c r="C20" s="4">
        <v>-52.5</v>
      </c>
      <c r="D20" s="4">
        <v>82.9</v>
      </c>
      <c r="E20" s="4">
        <v>6.7</v>
      </c>
      <c r="F20" s="4">
        <v>7</v>
      </c>
      <c r="G20" s="21">
        <v>-16.046273816740467</v>
      </c>
      <c r="H20" s="21">
        <v>140.63546943840683</v>
      </c>
      <c r="J20" s="4" t="s">
        <v>351</v>
      </c>
    </row>
    <row r="21" spans="1:10">
      <c r="A21" s="4" t="s">
        <v>539</v>
      </c>
      <c r="B21" s="4">
        <v>52.4</v>
      </c>
      <c r="C21" s="4">
        <v>-42.1</v>
      </c>
      <c r="D21" s="4">
        <v>27.8</v>
      </c>
      <c r="E21" s="4">
        <v>9.9</v>
      </c>
      <c r="F21" s="4">
        <v>9</v>
      </c>
      <c r="G21" s="21">
        <v>-1.1513658213760039</v>
      </c>
      <c r="H21" s="21">
        <v>148.87917074383125</v>
      </c>
      <c r="J21" s="4" t="s">
        <v>351</v>
      </c>
    </row>
    <row r="22" spans="1:10">
      <c r="A22" s="4" t="s">
        <v>540</v>
      </c>
      <c r="B22" s="4">
        <v>24.3</v>
      </c>
      <c r="C22" s="4">
        <v>-44.9</v>
      </c>
      <c r="D22" s="4">
        <v>64.3</v>
      </c>
      <c r="E22" s="4">
        <v>7</v>
      </c>
      <c r="F22" s="4">
        <v>8</v>
      </c>
      <c r="G22" s="21">
        <v>5.6695842816873068</v>
      </c>
      <c r="H22" s="21">
        <v>173.1539569250979</v>
      </c>
      <c r="J22" s="4" t="s">
        <v>351</v>
      </c>
    </row>
    <row r="23" spans="1:10">
      <c r="A23" s="4" t="s">
        <v>541</v>
      </c>
      <c r="B23" s="4">
        <v>41.4</v>
      </c>
      <c r="C23" s="4">
        <v>-47.9</v>
      </c>
      <c r="D23" s="4">
        <v>50.8</v>
      </c>
      <c r="E23" s="4">
        <v>7.8</v>
      </c>
      <c r="F23" s="4">
        <v>8</v>
      </c>
      <c r="G23" s="21">
        <v>-1.3468006712346181</v>
      </c>
      <c r="H23" s="21">
        <v>159.51260542000514</v>
      </c>
      <c r="J23" s="4" t="s">
        <v>351</v>
      </c>
    </row>
    <row r="24" spans="1:10">
      <c r="A24" s="4" t="s">
        <v>542</v>
      </c>
      <c r="B24" s="4">
        <v>24.1</v>
      </c>
      <c r="C24" s="4">
        <v>-46.4</v>
      </c>
      <c r="D24" s="4">
        <v>62.9</v>
      </c>
      <c r="E24" s="4">
        <v>7.7</v>
      </c>
      <c r="F24" s="4">
        <v>7</v>
      </c>
      <c r="G24" s="21">
        <v>4.5286845492511674</v>
      </c>
      <c r="H24" s="21">
        <v>173.6143857632712</v>
      </c>
      <c r="J24" s="4" t="s">
        <v>351</v>
      </c>
    </row>
    <row r="25" spans="1:10">
      <c r="A25" s="4" t="s">
        <v>543</v>
      </c>
      <c r="B25" s="4">
        <v>42.5</v>
      </c>
      <c r="C25" s="4">
        <v>-47</v>
      </c>
      <c r="D25" s="4">
        <v>71.3</v>
      </c>
      <c r="E25" s="4">
        <v>8</v>
      </c>
      <c r="F25" s="4">
        <v>8</v>
      </c>
      <c r="G25" s="21">
        <v>-1.0126847088884148</v>
      </c>
      <c r="H25" s="21">
        <v>158.33102198105559</v>
      </c>
      <c r="J25" s="4" t="s">
        <v>351</v>
      </c>
    </row>
    <row r="26" spans="1:10">
      <c r="A26" s="4" t="s">
        <v>544</v>
      </c>
      <c r="B26" s="4">
        <v>39.4</v>
      </c>
      <c r="C26" s="4">
        <v>-46.2</v>
      </c>
      <c r="D26" s="4">
        <v>67.099999999999994</v>
      </c>
      <c r="E26" s="4">
        <v>8.1999999999999993</v>
      </c>
      <c r="F26" s="4">
        <v>5</v>
      </c>
      <c r="G26" s="21">
        <v>0.62558006729163651</v>
      </c>
      <c r="H26" s="21">
        <v>160.62550330835433</v>
      </c>
      <c r="J26" s="4" t="s">
        <v>351</v>
      </c>
    </row>
    <row r="27" spans="1:10" s="10" customFormat="1">
      <c r="A27" s="10" t="s">
        <v>545</v>
      </c>
      <c r="B27" s="10">
        <v>24.3</v>
      </c>
      <c r="C27" s="10">
        <v>-49.5</v>
      </c>
      <c r="D27" s="10">
        <v>163</v>
      </c>
      <c r="E27" s="10">
        <v>4.7</v>
      </c>
      <c r="F27" s="10">
        <v>7</v>
      </c>
      <c r="G27" s="18">
        <v>1.9088528306862713</v>
      </c>
      <c r="H27" s="18">
        <v>174.03727408913494</v>
      </c>
      <c r="J27" s="4" t="s">
        <v>351</v>
      </c>
    </row>
    <row r="28" spans="1:10" s="10" customFormat="1">
      <c r="A28" s="10" t="s">
        <v>546</v>
      </c>
      <c r="B28" s="10">
        <v>196.1</v>
      </c>
      <c r="C28" s="10">
        <v>43.4</v>
      </c>
      <c r="D28" s="10">
        <v>53.7</v>
      </c>
      <c r="E28" s="10">
        <v>6</v>
      </c>
      <c r="F28" s="10">
        <v>12</v>
      </c>
      <c r="G28" s="18">
        <v>8.1</v>
      </c>
      <c r="H28" s="18">
        <v>180.2</v>
      </c>
      <c r="J28" s="4" t="s">
        <v>351</v>
      </c>
    </row>
    <row r="29" spans="1:10" s="10" customFormat="1">
      <c r="A29" s="10" t="s">
        <v>547</v>
      </c>
      <c r="B29" s="10">
        <v>189</v>
      </c>
      <c r="C29" s="10">
        <v>41.3</v>
      </c>
      <c r="D29" s="10">
        <v>70.5</v>
      </c>
      <c r="E29" s="10">
        <v>14.8</v>
      </c>
      <c r="F29" s="10">
        <v>3</v>
      </c>
      <c r="G29" s="18">
        <v>10.6</v>
      </c>
      <c r="H29" s="18">
        <v>186.5</v>
      </c>
      <c r="J29" s="4" t="s">
        <v>351</v>
      </c>
    </row>
    <row r="30" spans="1:10" s="40" customFormat="1">
      <c r="A30" s="40" t="s">
        <v>548</v>
      </c>
      <c r="B30" s="46">
        <v>23</v>
      </c>
      <c r="C30" s="46">
        <v>46</v>
      </c>
      <c r="D30" s="46">
        <v>159</v>
      </c>
      <c r="E30" s="46">
        <v>5.3</v>
      </c>
      <c r="F30" s="48">
        <v>6</v>
      </c>
      <c r="G30" s="47">
        <v>58</v>
      </c>
      <c r="H30" s="47">
        <v>154</v>
      </c>
      <c r="J30" s="4" t="s">
        <v>351</v>
      </c>
    </row>
    <row r="31" spans="1:10" s="40" customFormat="1">
      <c r="A31" s="40" t="s">
        <v>549</v>
      </c>
      <c r="B31" s="46">
        <v>31</v>
      </c>
      <c r="C31" s="46">
        <v>40</v>
      </c>
      <c r="D31" s="46">
        <v>74</v>
      </c>
      <c r="E31" s="46">
        <v>3.9</v>
      </c>
      <c r="F31" s="48">
        <v>19</v>
      </c>
      <c r="G31" s="47">
        <v>50</v>
      </c>
      <c r="H31" s="47">
        <v>147</v>
      </c>
      <c r="J31" s="4" t="s">
        <v>351</v>
      </c>
    </row>
    <row r="32" spans="1:10" s="40" customFormat="1">
      <c r="A32" s="40" t="s">
        <v>550</v>
      </c>
      <c r="B32" s="46">
        <v>30</v>
      </c>
      <c r="C32" s="46">
        <v>41</v>
      </c>
      <c r="D32" s="46">
        <v>27.3</v>
      </c>
      <c r="E32" s="46">
        <v>13</v>
      </c>
      <c r="F32" s="48">
        <v>6</v>
      </c>
      <c r="G32" s="47">
        <v>51</v>
      </c>
      <c r="H32" s="47">
        <v>148</v>
      </c>
      <c r="J32" s="4" t="s">
        <v>351</v>
      </c>
    </row>
    <row r="33" spans="1:10" s="40" customFormat="1">
      <c r="A33" s="40" t="s">
        <v>551</v>
      </c>
      <c r="B33" s="40">
        <v>35.799999999999997</v>
      </c>
      <c r="C33" s="40">
        <v>-25.7</v>
      </c>
      <c r="D33" s="40">
        <v>97.4</v>
      </c>
      <c r="E33" s="40">
        <v>6.1</v>
      </c>
      <c r="F33" s="40">
        <v>7</v>
      </c>
      <c r="G33" s="45">
        <v>15</v>
      </c>
      <c r="H33" s="45">
        <v>158.80000000000001</v>
      </c>
      <c r="J33" s="4" t="s">
        <v>351</v>
      </c>
    </row>
    <row r="34" spans="1:10" s="40" customFormat="1">
      <c r="A34" s="40" t="s">
        <v>552</v>
      </c>
      <c r="B34" s="40">
        <v>42.2</v>
      </c>
      <c r="C34" s="40">
        <v>-25.5</v>
      </c>
      <c r="D34" s="40">
        <v>34.1</v>
      </c>
      <c r="E34" s="40">
        <v>8.9</v>
      </c>
      <c r="F34" s="40">
        <v>9</v>
      </c>
      <c r="G34" s="45">
        <v>12.8</v>
      </c>
      <c r="H34" s="45">
        <v>152.9</v>
      </c>
      <c r="J34" s="4" t="s">
        <v>351</v>
      </c>
    </row>
    <row r="35" spans="1:10" s="40" customFormat="1">
      <c r="A35" s="40" t="s">
        <v>553</v>
      </c>
      <c r="B35" s="40">
        <v>9</v>
      </c>
      <c r="C35" s="40">
        <v>-20</v>
      </c>
      <c r="D35" s="40">
        <v>30</v>
      </c>
      <c r="E35" s="40">
        <v>17</v>
      </c>
      <c r="F35" s="44">
        <v>4</v>
      </c>
      <c r="G35" s="49">
        <v>-24</v>
      </c>
      <c r="H35" s="49">
        <v>6</v>
      </c>
      <c r="J35" s="4" t="s">
        <v>351</v>
      </c>
    </row>
    <row r="36" spans="1:10" s="40" customFormat="1">
      <c r="A36" s="40" t="s">
        <v>554</v>
      </c>
      <c r="B36" s="40">
        <v>36</v>
      </c>
      <c r="C36" s="40">
        <v>-21</v>
      </c>
      <c r="D36" s="40">
        <v>69</v>
      </c>
      <c r="E36" s="40">
        <v>15</v>
      </c>
      <c r="F36" s="44">
        <v>3</v>
      </c>
      <c r="G36" s="49">
        <v>-18</v>
      </c>
      <c r="H36" s="49">
        <v>338</v>
      </c>
      <c r="J36" s="4" t="s">
        <v>351</v>
      </c>
    </row>
    <row r="37" spans="1:10" s="40" customFormat="1">
      <c r="A37" s="40" t="s">
        <v>555</v>
      </c>
      <c r="B37" s="40">
        <v>41</v>
      </c>
      <c r="C37" s="40">
        <v>-45</v>
      </c>
      <c r="D37" s="40">
        <v>151</v>
      </c>
      <c r="E37" s="40">
        <v>4.9000000000000004</v>
      </c>
      <c r="F37" s="44">
        <v>7</v>
      </c>
      <c r="G37" s="49">
        <v>-1</v>
      </c>
      <c r="H37" s="49">
        <v>339</v>
      </c>
      <c r="J37" s="4" t="s">
        <v>351</v>
      </c>
    </row>
    <row r="38" spans="1:10" s="40" customFormat="1">
      <c r="A38" s="40" t="s">
        <v>556</v>
      </c>
      <c r="B38" s="40">
        <v>33</v>
      </c>
      <c r="C38" s="40">
        <v>-45</v>
      </c>
      <c r="D38" s="40">
        <v>44</v>
      </c>
      <c r="E38" s="40">
        <v>5.4</v>
      </c>
      <c r="F38" s="44">
        <v>17</v>
      </c>
      <c r="G38" s="49">
        <v>-4</v>
      </c>
      <c r="H38" s="49">
        <v>346</v>
      </c>
      <c r="J38" s="4" t="s">
        <v>351</v>
      </c>
    </row>
    <row r="40" spans="1:10">
      <c r="D40" s="24"/>
      <c r="E40" s="24"/>
      <c r="F40" s="24"/>
      <c r="G40" s="50"/>
      <c r="H40" s="50"/>
    </row>
    <row r="42" spans="1:10">
      <c r="B42" s="26"/>
      <c r="C42" s="26"/>
      <c r="F42" s="26"/>
    </row>
    <row r="68" spans="2:3">
      <c r="B68" s="10"/>
      <c r="C68" s="10"/>
    </row>
    <row r="69" spans="2:3">
      <c r="B69" s="10"/>
      <c r="C69" s="10"/>
    </row>
    <row r="70" spans="2:3">
      <c r="B70" s="10"/>
      <c r="C70" s="10"/>
    </row>
    <row r="71" spans="2:3">
      <c r="B71" s="46"/>
      <c r="C71" s="46"/>
    </row>
    <row r="72" spans="2:3">
      <c r="B72" s="46"/>
      <c r="C72" s="46"/>
    </row>
    <row r="73" spans="2:3">
      <c r="B73" s="46"/>
      <c r="C73" s="46"/>
    </row>
    <row r="74" spans="2:3">
      <c r="B74" s="40"/>
      <c r="C74" s="40"/>
    </row>
    <row r="75" spans="2:3">
      <c r="B75" s="40"/>
      <c r="C75" s="40"/>
    </row>
    <row r="76" spans="2:3">
      <c r="B76" s="40"/>
      <c r="C76" s="40"/>
    </row>
    <row r="77" spans="2:3">
      <c r="B77" s="40"/>
      <c r="C77" s="40"/>
    </row>
    <row r="78" spans="2:3">
      <c r="B78" s="40"/>
      <c r="C78" s="40"/>
    </row>
    <row r="79" spans="2:3">
      <c r="B79" s="40"/>
      <c r="C79" s="40"/>
    </row>
  </sheetData>
  <phoneticPr fontId="19" type="noConversion"/>
  <pageMargins left="0.7" right="0.7" top="0.75" bottom="0.75" header="0.3" footer="0.3"/>
  <pageSetup orientation="portrait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6498AA-0591-4374-8F4F-27AEED2339F9}">
  <dimension ref="A1:J7"/>
  <sheetViews>
    <sheetView workbookViewId="0">
      <selection sqref="A1:A1048576"/>
    </sheetView>
  </sheetViews>
  <sheetFormatPr defaultColWidth="8.81640625" defaultRowHeight="12.5"/>
  <cols>
    <col min="1" max="1" width="24" style="4" bestFit="1" customWidth="1"/>
    <col min="2" max="9" width="8.81640625" style="4"/>
    <col min="10" max="10" width="15.81640625" style="4" customWidth="1"/>
    <col min="11" max="16384" width="8.81640625" style="4"/>
  </cols>
  <sheetData>
    <row r="1" spans="1:10">
      <c r="A1" s="62" t="s">
        <v>0</v>
      </c>
      <c r="B1" s="56" t="s">
        <v>1</v>
      </c>
      <c r="C1" s="56" t="s">
        <v>2</v>
      </c>
      <c r="D1" s="56" t="s">
        <v>3</v>
      </c>
      <c r="E1" s="56" t="s">
        <v>4</v>
      </c>
      <c r="F1" s="56" t="s">
        <v>5</v>
      </c>
      <c r="G1" s="56" t="s">
        <v>6</v>
      </c>
      <c r="H1" s="56" t="s">
        <v>7</v>
      </c>
      <c r="I1" s="4" t="s">
        <v>9</v>
      </c>
      <c r="J1" s="4" t="s">
        <v>8</v>
      </c>
    </row>
    <row r="2" spans="1:10">
      <c r="A2" s="4" t="s">
        <v>557</v>
      </c>
      <c r="B2" s="17">
        <v>61.3</v>
      </c>
      <c r="C2" s="4">
        <v>-40.700000000000003</v>
      </c>
      <c r="D2" s="10">
        <v>22.2</v>
      </c>
      <c r="E2" s="18">
        <v>7.1</v>
      </c>
      <c r="F2" s="9">
        <v>20</v>
      </c>
      <c r="G2" s="21">
        <v>-3.458291083911007</v>
      </c>
      <c r="H2" s="21">
        <v>183.1711740374277</v>
      </c>
    </row>
    <row r="3" spans="1:10">
      <c r="A3" s="4" t="s">
        <v>558</v>
      </c>
      <c r="B3" s="17">
        <v>246</v>
      </c>
      <c r="C3" s="4">
        <v>22.3</v>
      </c>
      <c r="D3" s="10">
        <v>13.9</v>
      </c>
      <c r="E3" s="18">
        <v>34.5</v>
      </c>
      <c r="F3" s="9">
        <v>3</v>
      </c>
      <c r="G3" s="21">
        <v>4.1105520959965531</v>
      </c>
      <c r="H3" s="21">
        <v>173.20358047653821</v>
      </c>
    </row>
    <row r="4" spans="1:10">
      <c r="A4" s="4" t="s">
        <v>559</v>
      </c>
      <c r="B4" s="17">
        <v>77.7</v>
      </c>
      <c r="C4" s="4">
        <v>-17.2</v>
      </c>
      <c r="D4" s="10">
        <v>15.2</v>
      </c>
      <c r="E4" s="18">
        <v>14.7</v>
      </c>
      <c r="F4" s="9">
        <v>8</v>
      </c>
      <c r="G4" s="21">
        <v>-1.0048597786749269E-5</v>
      </c>
      <c r="H4" s="21">
        <v>162.08321949634876</v>
      </c>
    </row>
    <row r="5" spans="1:10">
      <c r="A5" s="4" t="s">
        <v>560</v>
      </c>
      <c r="B5" s="17">
        <v>230.2</v>
      </c>
      <c r="C5" s="4">
        <v>18.600000000000001</v>
      </c>
      <c r="D5" s="10">
        <v>1.6</v>
      </c>
      <c r="E5" s="18">
        <v>23.9</v>
      </c>
      <c r="F5" s="9">
        <v>4</v>
      </c>
      <c r="G5" s="21">
        <v>13.696929047605693</v>
      </c>
      <c r="H5" s="21">
        <v>185.75692577063774</v>
      </c>
    </row>
    <row r="6" spans="1:10">
      <c r="A6" s="4" t="s">
        <v>561</v>
      </c>
      <c r="B6" s="4">
        <v>47.2</v>
      </c>
      <c r="C6" s="4">
        <v>-21.6</v>
      </c>
      <c r="D6" s="10">
        <v>61.7</v>
      </c>
      <c r="E6" s="18">
        <v>6.6</v>
      </c>
      <c r="F6" s="9">
        <v>9</v>
      </c>
      <c r="G6" s="21">
        <v>13.571315232935561</v>
      </c>
      <c r="H6" s="21">
        <v>189.23145090849852</v>
      </c>
    </row>
    <row r="7" spans="1:10">
      <c r="A7" s="4" t="s">
        <v>562</v>
      </c>
      <c r="B7" s="4">
        <v>223.9</v>
      </c>
      <c r="C7" s="4">
        <v>51.9</v>
      </c>
      <c r="D7" s="10">
        <v>82.6</v>
      </c>
      <c r="E7" s="18">
        <v>5.0999999999999996</v>
      </c>
      <c r="F7" s="9">
        <v>11</v>
      </c>
      <c r="G7" s="21">
        <v>-4.4663682177350097</v>
      </c>
      <c r="H7" s="21">
        <v>201.09591406200261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31AC28-D179-4E89-9744-34A131F45E14}">
  <dimension ref="A1:J27"/>
  <sheetViews>
    <sheetView workbookViewId="0">
      <selection sqref="A1:A1048576"/>
    </sheetView>
  </sheetViews>
  <sheetFormatPr defaultColWidth="8.81640625" defaultRowHeight="12.5"/>
  <cols>
    <col min="1" max="9" width="8.81640625" style="31"/>
    <col min="10" max="10" width="15.81640625" style="31" customWidth="1"/>
    <col min="11" max="16384" width="8.81640625" style="31"/>
  </cols>
  <sheetData>
    <row r="1" spans="1:10">
      <c r="A1" s="70" t="s">
        <v>0</v>
      </c>
      <c r="B1" s="71" t="s">
        <v>1</v>
      </c>
      <c r="C1" s="71" t="s">
        <v>2</v>
      </c>
      <c r="D1" s="71" t="s">
        <v>3</v>
      </c>
      <c r="E1" s="71" t="s">
        <v>4</v>
      </c>
      <c r="F1" s="71" t="s">
        <v>5</v>
      </c>
      <c r="G1" s="71" t="s">
        <v>6</v>
      </c>
      <c r="H1" s="71" t="s">
        <v>7</v>
      </c>
      <c r="I1" s="31" t="s">
        <v>9</v>
      </c>
      <c r="J1" s="31" t="s">
        <v>8</v>
      </c>
    </row>
    <row r="2" spans="1:10">
      <c r="A2" s="32" t="s">
        <v>563</v>
      </c>
      <c r="B2" s="31">
        <v>212.5</v>
      </c>
      <c r="C2" s="31">
        <v>13.6</v>
      </c>
      <c r="D2" s="31">
        <v>20.100000000000001</v>
      </c>
      <c r="E2" s="31">
        <v>7.1</v>
      </c>
      <c r="F2" s="31">
        <v>22</v>
      </c>
      <c r="G2" s="33">
        <v>17.2</v>
      </c>
      <c r="H2" s="33">
        <v>178</v>
      </c>
      <c r="J2" s="31" t="s">
        <v>351</v>
      </c>
    </row>
    <row r="3" spans="1:10">
      <c r="A3" s="32" t="s">
        <v>564</v>
      </c>
      <c r="B3" s="31">
        <v>47.5</v>
      </c>
      <c r="C3" s="31">
        <v>-24.1</v>
      </c>
      <c r="D3" s="31">
        <v>43.1</v>
      </c>
      <c r="E3" s="31">
        <v>19</v>
      </c>
      <c r="F3" s="31">
        <v>3</v>
      </c>
      <c r="G3" s="33">
        <v>7.0521958579336257</v>
      </c>
      <c r="H3" s="33">
        <v>165</v>
      </c>
      <c r="J3" s="31" t="s">
        <v>351</v>
      </c>
    </row>
    <row r="4" spans="1:10">
      <c r="A4" s="31" t="s">
        <v>565</v>
      </c>
      <c r="B4" s="31">
        <v>30.9</v>
      </c>
      <c r="C4" s="31">
        <v>-11</v>
      </c>
      <c r="D4" s="31">
        <v>85.8</v>
      </c>
      <c r="E4" s="31">
        <v>4.3</v>
      </c>
      <c r="F4" s="31">
        <v>14</v>
      </c>
      <c r="G4" s="33">
        <v>-18.899999999999999</v>
      </c>
      <c r="H4" s="33">
        <v>178.2</v>
      </c>
      <c r="J4" s="31" t="s">
        <v>351</v>
      </c>
    </row>
    <row r="5" spans="1:10">
      <c r="A5" s="31" t="s">
        <v>566</v>
      </c>
      <c r="B5" s="31">
        <v>32</v>
      </c>
      <c r="C5" s="31">
        <v>-10.4</v>
      </c>
      <c r="D5" s="31">
        <v>49.9</v>
      </c>
      <c r="E5" s="31">
        <v>4.5</v>
      </c>
      <c r="F5" s="31">
        <v>21</v>
      </c>
      <c r="G5" s="33">
        <v>18.7</v>
      </c>
      <c r="H5" s="33">
        <v>183</v>
      </c>
      <c r="J5" s="31" t="s">
        <v>351</v>
      </c>
    </row>
    <row r="6" spans="1:10">
      <c r="A6" s="31" t="s">
        <v>567</v>
      </c>
      <c r="B6" s="31">
        <v>25.8</v>
      </c>
      <c r="C6" s="31">
        <v>-11</v>
      </c>
      <c r="D6" s="31">
        <v>51.3</v>
      </c>
      <c r="E6" s="31">
        <v>5.6</v>
      </c>
      <c r="F6" s="31">
        <v>14</v>
      </c>
      <c r="G6" s="33">
        <v>20.100000000000001</v>
      </c>
      <c r="H6" s="33">
        <v>183.4</v>
      </c>
      <c r="J6" s="31" t="s">
        <v>351</v>
      </c>
    </row>
    <row r="7" spans="1:10">
      <c r="A7" s="31" t="s">
        <v>568</v>
      </c>
      <c r="B7" s="31">
        <v>40</v>
      </c>
      <c r="C7" s="31">
        <v>-26.1</v>
      </c>
      <c r="D7" s="31">
        <v>58.3</v>
      </c>
      <c r="E7" s="31">
        <v>4.4000000000000004</v>
      </c>
      <c r="F7" s="31">
        <v>59</v>
      </c>
      <c r="G7" s="33">
        <v>8.3000000000000007</v>
      </c>
      <c r="H7" s="33">
        <v>171.6</v>
      </c>
      <c r="J7" s="31" t="s">
        <v>351</v>
      </c>
    </row>
    <row r="8" spans="1:10">
      <c r="A8" s="31" t="s">
        <v>569</v>
      </c>
      <c r="B8" s="31">
        <v>45</v>
      </c>
      <c r="C8" s="31">
        <v>-16.899999999999999</v>
      </c>
      <c r="D8" s="31">
        <v>22.3</v>
      </c>
      <c r="E8" s="31">
        <v>9.9</v>
      </c>
      <c r="F8" s="31">
        <v>11</v>
      </c>
      <c r="G8" s="33">
        <v>11.629772597323282</v>
      </c>
      <c r="H8" s="33">
        <v>165.2</v>
      </c>
      <c r="J8" s="31" t="s">
        <v>351</v>
      </c>
    </row>
    <row r="9" spans="1:10">
      <c r="A9" s="31" t="s">
        <v>570</v>
      </c>
      <c r="B9" s="31">
        <v>31.8</v>
      </c>
      <c r="C9" s="31">
        <v>-17.100000000000001</v>
      </c>
      <c r="D9" s="31">
        <v>48.3</v>
      </c>
      <c r="E9" s="31">
        <v>4.3</v>
      </c>
      <c r="F9" s="31">
        <v>56</v>
      </c>
      <c r="G9" s="33">
        <v>15.4</v>
      </c>
      <c r="H9" s="33">
        <v>178</v>
      </c>
      <c r="J9" s="31" t="s">
        <v>351</v>
      </c>
    </row>
    <row r="10" spans="1:10">
      <c r="A10" s="31" t="s">
        <v>571</v>
      </c>
      <c r="B10" s="31">
        <v>37.200000000000003</v>
      </c>
      <c r="C10" s="31">
        <v>-24.7</v>
      </c>
      <c r="D10" s="31">
        <v>25.1</v>
      </c>
      <c r="E10" s="31">
        <v>4.5999999999999996</v>
      </c>
      <c r="F10" s="31">
        <v>40</v>
      </c>
      <c r="G10" s="33">
        <v>9.9</v>
      </c>
      <c r="H10" s="33">
        <v>174</v>
      </c>
      <c r="J10" s="31" t="s">
        <v>351</v>
      </c>
    </row>
    <row r="11" spans="1:10">
      <c r="A11" s="32" t="s">
        <v>572</v>
      </c>
      <c r="B11" s="31">
        <v>202.8</v>
      </c>
      <c r="C11" s="31">
        <v>29.7</v>
      </c>
      <c r="D11" s="31">
        <v>25.2</v>
      </c>
      <c r="E11" s="31">
        <v>15.5</v>
      </c>
      <c r="F11" s="31">
        <v>5</v>
      </c>
      <c r="G11" s="33">
        <v>10.485376499312736</v>
      </c>
      <c r="H11" s="33">
        <v>188.4</v>
      </c>
      <c r="J11" s="31" t="s">
        <v>351</v>
      </c>
    </row>
    <row r="12" spans="1:10">
      <c r="A12" s="32" t="s">
        <v>573</v>
      </c>
      <c r="B12" s="31">
        <v>29.9</v>
      </c>
      <c r="C12" s="31">
        <v>-21.1</v>
      </c>
      <c r="D12" s="31">
        <v>32</v>
      </c>
      <c r="E12" s="31">
        <v>6</v>
      </c>
      <c r="F12" s="31">
        <v>19</v>
      </c>
      <c r="G12" s="33">
        <v>13.867284746394546</v>
      </c>
      <c r="H12" s="33">
        <v>180.4</v>
      </c>
      <c r="J12" s="31" t="s">
        <v>351</v>
      </c>
    </row>
    <row r="13" spans="1:10">
      <c r="A13" s="31" t="s">
        <v>574</v>
      </c>
      <c r="B13" s="31">
        <v>25.5</v>
      </c>
      <c r="C13" s="31">
        <v>-18.2</v>
      </c>
      <c r="D13" s="31">
        <v>117.8</v>
      </c>
      <c r="E13" s="31">
        <v>5.4</v>
      </c>
      <c r="F13" s="31">
        <v>5</v>
      </c>
      <c r="G13" s="33">
        <v>16.2</v>
      </c>
      <c r="H13" s="33">
        <v>184.6</v>
      </c>
      <c r="J13" s="31" t="s">
        <v>351</v>
      </c>
    </row>
    <row r="14" spans="1:10">
      <c r="A14" s="31" t="s">
        <v>575</v>
      </c>
      <c r="B14" s="31">
        <v>30.8</v>
      </c>
      <c r="C14" s="31">
        <v>-19.899999999999999</v>
      </c>
      <c r="D14" s="31">
        <v>170.8</v>
      </c>
      <c r="E14" s="31">
        <v>7.1</v>
      </c>
      <c r="F14" s="31">
        <v>4</v>
      </c>
      <c r="G14" s="33">
        <v>14.1</v>
      </c>
      <c r="H14" s="33">
        <v>179.5</v>
      </c>
      <c r="J14" s="31" t="s">
        <v>351</v>
      </c>
    </row>
    <row r="15" spans="1:10">
      <c r="A15" s="31" t="s">
        <v>576</v>
      </c>
      <c r="B15" s="31">
        <v>37.299999999999997</v>
      </c>
      <c r="C15" s="31">
        <v>-15</v>
      </c>
      <c r="D15" s="31">
        <v>68</v>
      </c>
      <c r="E15" s="31">
        <v>7.3</v>
      </c>
      <c r="F15" s="31">
        <v>5</v>
      </c>
      <c r="G15" s="33">
        <v>14.8</v>
      </c>
      <c r="H15" s="33">
        <v>172.4</v>
      </c>
      <c r="J15" s="31" t="s">
        <v>351</v>
      </c>
    </row>
    <row r="16" spans="1:10">
      <c r="A16" s="31" t="s">
        <v>577</v>
      </c>
      <c r="B16" s="31" t="s">
        <v>578</v>
      </c>
      <c r="C16" s="31">
        <v>-15.9</v>
      </c>
      <c r="D16" s="31" t="s">
        <v>579</v>
      </c>
      <c r="E16" s="31" t="s">
        <v>580</v>
      </c>
      <c r="F16" s="31">
        <v>6</v>
      </c>
      <c r="G16" s="31" t="s">
        <v>581</v>
      </c>
      <c r="H16" s="31" t="s">
        <v>582</v>
      </c>
      <c r="J16" s="31" t="s">
        <v>351</v>
      </c>
    </row>
    <row r="17" spans="1:10">
      <c r="A17" s="31" t="s">
        <v>583</v>
      </c>
      <c r="B17" s="31" t="s">
        <v>584</v>
      </c>
      <c r="C17" s="31">
        <v>-14.1</v>
      </c>
      <c r="D17" s="31" t="s">
        <v>585</v>
      </c>
      <c r="E17" s="31" t="s">
        <v>586</v>
      </c>
      <c r="F17" s="31">
        <v>4</v>
      </c>
      <c r="G17" s="31" t="s">
        <v>587</v>
      </c>
      <c r="H17" s="31" t="s">
        <v>588</v>
      </c>
      <c r="J17" s="31" t="s">
        <v>351</v>
      </c>
    </row>
    <row r="18" spans="1:10">
      <c r="A18" s="31" t="s">
        <v>589</v>
      </c>
      <c r="B18" s="31" t="s">
        <v>590</v>
      </c>
      <c r="C18" s="31">
        <v>-17.3</v>
      </c>
      <c r="F18" s="31">
        <v>1</v>
      </c>
      <c r="G18" s="31" t="s">
        <v>591</v>
      </c>
      <c r="H18" s="31" t="s">
        <v>592</v>
      </c>
      <c r="J18" s="31" t="s">
        <v>351</v>
      </c>
    </row>
    <row r="19" spans="1:10">
      <c r="A19" s="31" t="s">
        <v>593</v>
      </c>
      <c r="B19" s="31" t="s">
        <v>594</v>
      </c>
      <c r="C19" s="31">
        <v>-21.6</v>
      </c>
      <c r="D19" s="31" t="s">
        <v>595</v>
      </c>
      <c r="E19" s="31" t="s">
        <v>596</v>
      </c>
      <c r="F19" s="31">
        <v>6</v>
      </c>
      <c r="G19" s="31" t="s">
        <v>597</v>
      </c>
      <c r="H19" s="31" t="s">
        <v>598</v>
      </c>
      <c r="J19" s="31" t="s">
        <v>351</v>
      </c>
    </row>
    <row r="20" spans="1:10">
      <c r="A20" s="31" t="s">
        <v>599</v>
      </c>
      <c r="B20" s="31" t="s">
        <v>600</v>
      </c>
      <c r="C20" s="31">
        <v>-9.6</v>
      </c>
      <c r="D20" s="31" t="s">
        <v>601</v>
      </c>
      <c r="E20" s="31" t="s">
        <v>602</v>
      </c>
      <c r="F20" s="31">
        <v>3</v>
      </c>
      <c r="G20" s="31" t="s">
        <v>603</v>
      </c>
      <c r="H20" s="31" t="s">
        <v>604</v>
      </c>
      <c r="J20" s="31" t="s">
        <v>351</v>
      </c>
    </row>
    <row r="21" spans="1:10">
      <c r="A21" s="31" t="s">
        <v>605</v>
      </c>
      <c r="B21" s="31" t="s">
        <v>606</v>
      </c>
      <c r="C21" s="31">
        <v>-13.8</v>
      </c>
      <c r="D21" s="31" t="s">
        <v>607</v>
      </c>
      <c r="E21" s="31" t="s">
        <v>581</v>
      </c>
      <c r="F21" s="31">
        <v>5</v>
      </c>
      <c r="G21" s="31" t="s">
        <v>596</v>
      </c>
      <c r="H21" s="31" t="s">
        <v>608</v>
      </c>
      <c r="J21" s="31" t="s">
        <v>351</v>
      </c>
    </row>
    <row r="22" spans="1:10">
      <c r="A22" s="31" t="s">
        <v>609</v>
      </c>
      <c r="B22" s="31" t="s">
        <v>610</v>
      </c>
      <c r="C22" s="31">
        <v>-9.8000000000000007</v>
      </c>
      <c r="D22" s="31" t="s">
        <v>611</v>
      </c>
      <c r="E22" s="31" t="s">
        <v>612</v>
      </c>
      <c r="F22" s="31">
        <v>3</v>
      </c>
      <c r="G22" s="31" t="s">
        <v>613</v>
      </c>
      <c r="H22" s="31" t="s">
        <v>614</v>
      </c>
      <c r="J22" s="31" t="s">
        <v>351</v>
      </c>
    </row>
    <row r="23" spans="1:10">
      <c r="A23" s="31" t="s">
        <v>615</v>
      </c>
      <c r="B23" s="31" t="s">
        <v>616</v>
      </c>
      <c r="C23" s="31">
        <v>-15.3</v>
      </c>
      <c r="D23" s="31" t="s">
        <v>617</v>
      </c>
      <c r="E23" s="31" t="s">
        <v>618</v>
      </c>
      <c r="F23" s="31">
        <v>3</v>
      </c>
      <c r="G23" s="31" t="s">
        <v>597</v>
      </c>
      <c r="H23" s="31" t="s">
        <v>619</v>
      </c>
      <c r="J23" s="31" t="s">
        <v>351</v>
      </c>
    </row>
    <row r="24" spans="1:10">
      <c r="A24" s="31" t="s">
        <v>620</v>
      </c>
      <c r="B24" s="31" t="s">
        <v>621</v>
      </c>
      <c r="C24" s="31">
        <v>-10.8</v>
      </c>
      <c r="D24" s="31" t="s">
        <v>622</v>
      </c>
      <c r="E24" s="31" t="s">
        <v>623</v>
      </c>
      <c r="F24" s="31">
        <v>5</v>
      </c>
      <c r="G24" s="31" t="s">
        <v>624</v>
      </c>
      <c r="H24" s="31" t="s">
        <v>625</v>
      </c>
      <c r="J24" s="31" t="s">
        <v>351</v>
      </c>
    </row>
    <row r="26" spans="1:10">
      <c r="A26" s="34"/>
    </row>
    <row r="27" spans="1:10">
      <c r="A27" s="32"/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43BA47-712F-48E3-A205-B8A0FC36A709}">
  <dimension ref="A1:J6"/>
  <sheetViews>
    <sheetView workbookViewId="0">
      <selection sqref="A1:A1048576"/>
    </sheetView>
  </sheetViews>
  <sheetFormatPr defaultColWidth="8.81640625" defaultRowHeight="12.5"/>
  <cols>
    <col min="1" max="9" width="8.81640625" style="4"/>
    <col min="10" max="10" width="15.81640625" style="4" customWidth="1"/>
    <col min="11" max="16384" width="8.81640625" style="4"/>
  </cols>
  <sheetData>
    <row r="1" spans="1:10" ht="16" customHeight="1">
      <c r="A1" s="62" t="s">
        <v>0</v>
      </c>
      <c r="B1" s="56" t="s">
        <v>1</v>
      </c>
      <c r="C1" s="56" t="s">
        <v>2</v>
      </c>
      <c r="D1" s="56" t="s">
        <v>3</v>
      </c>
      <c r="E1" s="56" t="s">
        <v>4</v>
      </c>
      <c r="F1" s="56" t="s">
        <v>5</v>
      </c>
      <c r="G1" s="56" t="s">
        <v>6</v>
      </c>
      <c r="H1" s="56" t="s">
        <v>7</v>
      </c>
      <c r="I1" s="4" t="s">
        <v>9</v>
      </c>
      <c r="J1" s="4" t="s">
        <v>8</v>
      </c>
    </row>
    <row r="6" spans="1:10">
      <c r="A6" s="1"/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4EA845-9989-436C-9C62-00E296E16D8E}">
  <dimension ref="A1:J19"/>
  <sheetViews>
    <sheetView workbookViewId="0">
      <selection sqref="A1:B1048576"/>
    </sheetView>
  </sheetViews>
  <sheetFormatPr defaultColWidth="8.81640625" defaultRowHeight="12.5"/>
  <cols>
    <col min="1" max="9" width="8.81640625" style="4"/>
    <col min="10" max="10" width="15.81640625" style="4" customWidth="1"/>
    <col min="11" max="16384" width="8.81640625" style="4"/>
  </cols>
  <sheetData>
    <row r="1" spans="1:10">
      <c r="A1" s="62" t="s">
        <v>0</v>
      </c>
      <c r="B1" s="56" t="s">
        <v>1</v>
      </c>
      <c r="C1" s="56" t="s">
        <v>2</v>
      </c>
      <c r="D1" s="56" t="s">
        <v>3</v>
      </c>
      <c r="E1" s="56" t="s">
        <v>4</v>
      </c>
      <c r="F1" s="56" t="s">
        <v>5</v>
      </c>
      <c r="G1" s="56" t="s">
        <v>6</v>
      </c>
      <c r="H1" s="56" t="s">
        <v>7</v>
      </c>
      <c r="I1" s="4" t="s">
        <v>9</v>
      </c>
      <c r="J1" s="4" t="s">
        <v>8</v>
      </c>
    </row>
    <row r="2" spans="1:10">
      <c r="A2" s="4" t="s">
        <v>626</v>
      </c>
      <c r="B2" s="4">
        <v>146.19999999999999</v>
      </c>
      <c r="C2" s="4">
        <v>52.9</v>
      </c>
      <c r="D2" s="4">
        <v>17.5</v>
      </c>
      <c r="E2" s="4">
        <v>22.6</v>
      </c>
      <c r="F2" s="4">
        <v>4</v>
      </c>
      <c r="G2" s="4">
        <v>12.2</v>
      </c>
      <c r="H2" s="4">
        <v>45</v>
      </c>
    </row>
    <row r="3" spans="1:10">
      <c r="A3" s="4" t="s">
        <v>627</v>
      </c>
      <c r="B3" s="4">
        <v>59.1</v>
      </c>
      <c r="C3" s="4">
        <v>-12.8</v>
      </c>
      <c r="D3" s="4">
        <v>61.4</v>
      </c>
      <c r="E3" s="4">
        <v>11.8</v>
      </c>
      <c r="F3" s="4">
        <v>4</v>
      </c>
      <c r="G3" s="4">
        <v>7.4</v>
      </c>
      <c r="H3" s="4">
        <v>136.69999999999999</v>
      </c>
    </row>
    <row r="4" spans="1:10">
      <c r="A4" s="4" t="s">
        <v>628</v>
      </c>
      <c r="B4" s="4">
        <v>20.100000000000001</v>
      </c>
      <c r="C4" s="4">
        <v>21.1</v>
      </c>
      <c r="D4" s="4">
        <v>5.5</v>
      </c>
      <c r="E4" s="4">
        <v>28.2</v>
      </c>
      <c r="F4" s="4">
        <v>7</v>
      </c>
      <c r="G4" s="4">
        <v>36.299999999999997</v>
      </c>
      <c r="H4" s="4">
        <v>170</v>
      </c>
    </row>
    <row r="5" spans="1:10">
      <c r="A5" s="4" t="s">
        <v>629</v>
      </c>
      <c r="B5" s="4">
        <v>3.4</v>
      </c>
      <c r="C5" s="4">
        <v>-26</v>
      </c>
      <c r="D5" s="4">
        <v>13.4</v>
      </c>
      <c r="E5" s="4">
        <v>26</v>
      </c>
      <c r="F5" s="4">
        <v>4</v>
      </c>
      <c r="G5" s="4">
        <v>12.3</v>
      </c>
      <c r="H5" s="4">
        <v>192.1</v>
      </c>
    </row>
    <row r="6" spans="1:10">
      <c r="A6" s="4" t="s">
        <v>630</v>
      </c>
      <c r="B6" s="4">
        <v>352.6</v>
      </c>
      <c r="C6" s="4">
        <v>-3.3</v>
      </c>
      <c r="D6" s="4">
        <v>24.5</v>
      </c>
      <c r="E6" s="4">
        <v>18.899999999999999</v>
      </c>
      <c r="F6" s="4">
        <v>4</v>
      </c>
      <c r="G6" s="4">
        <v>24.9</v>
      </c>
      <c r="H6" s="4">
        <v>204.2</v>
      </c>
    </row>
    <row r="7" spans="1:10" s="40" customFormat="1">
      <c r="A7" s="40" t="s">
        <v>631</v>
      </c>
      <c r="B7" s="40">
        <v>4.5</v>
      </c>
      <c r="C7" s="40">
        <v>-46.6</v>
      </c>
      <c r="D7" s="40">
        <v>42</v>
      </c>
      <c r="E7" s="40">
        <v>11.9</v>
      </c>
      <c r="F7" s="40">
        <v>5</v>
      </c>
      <c r="G7" s="40">
        <v>-1.1000000000000001</v>
      </c>
      <c r="H7" s="40">
        <v>192.1</v>
      </c>
      <c r="I7" s="4"/>
    </row>
    <row r="8" spans="1:10" s="40" customFormat="1">
      <c r="A8" s="40" t="s">
        <v>632</v>
      </c>
      <c r="B8" s="40">
        <v>8.3000000000000007</v>
      </c>
      <c r="C8" s="40">
        <v>-13</v>
      </c>
      <c r="D8" s="40">
        <v>30</v>
      </c>
      <c r="E8" s="40">
        <v>12.4</v>
      </c>
      <c r="F8" s="40">
        <v>6</v>
      </c>
      <c r="G8" s="40">
        <v>20</v>
      </c>
      <c r="H8" s="40">
        <v>187.3</v>
      </c>
    </row>
    <row r="9" spans="1:10" s="40" customFormat="1">
      <c r="A9" s="40" t="s">
        <v>633</v>
      </c>
      <c r="B9" s="40">
        <v>349.2</v>
      </c>
      <c r="C9" s="40">
        <v>-36</v>
      </c>
      <c r="D9" s="40">
        <v>42</v>
      </c>
      <c r="E9" s="40">
        <v>10.5</v>
      </c>
      <c r="F9" s="40">
        <v>6</v>
      </c>
      <c r="G9" s="40">
        <v>6.5</v>
      </c>
      <c r="H9" s="40">
        <v>206.3</v>
      </c>
    </row>
    <row r="10" spans="1:10" s="40" customFormat="1">
      <c r="A10" s="40" t="s">
        <v>634</v>
      </c>
      <c r="B10" s="40">
        <v>185.1</v>
      </c>
      <c r="C10" s="40">
        <v>-14.4</v>
      </c>
      <c r="D10" s="40">
        <v>43</v>
      </c>
      <c r="E10" s="40">
        <v>10.3</v>
      </c>
      <c r="F10" s="40">
        <v>6</v>
      </c>
      <c r="G10" s="40">
        <v>34.1</v>
      </c>
      <c r="H10" s="40">
        <v>189.9</v>
      </c>
    </row>
    <row r="11" spans="1:10" s="40" customFormat="1">
      <c r="A11" s="40" t="s">
        <v>635</v>
      </c>
      <c r="B11" s="40">
        <v>178.3</v>
      </c>
      <c r="C11" s="40">
        <v>6.1</v>
      </c>
      <c r="D11" s="40">
        <v>87</v>
      </c>
      <c r="E11" s="40">
        <v>9.9</v>
      </c>
      <c r="F11" s="40">
        <v>4</v>
      </c>
      <c r="G11" s="40">
        <v>23.8</v>
      </c>
      <c r="H11" s="40">
        <v>197.9</v>
      </c>
    </row>
    <row r="12" spans="1:10" s="40" customFormat="1">
      <c r="A12" s="40" t="s">
        <v>636</v>
      </c>
      <c r="B12" s="40">
        <v>168</v>
      </c>
      <c r="C12" s="40">
        <v>47.2</v>
      </c>
      <c r="D12" s="40">
        <v>10</v>
      </c>
      <c r="E12" s="40">
        <v>22.3</v>
      </c>
      <c r="F12" s="40">
        <v>6</v>
      </c>
      <c r="G12" s="40">
        <v>-2</v>
      </c>
      <c r="H12" s="40">
        <v>206.6</v>
      </c>
    </row>
    <row r="13" spans="1:10" s="40" customFormat="1">
      <c r="A13" s="40" t="s">
        <v>637</v>
      </c>
      <c r="B13" s="40">
        <v>164.4</v>
      </c>
      <c r="C13" s="40">
        <v>54.3</v>
      </c>
      <c r="D13" s="40">
        <v>44</v>
      </c>
      <c r="E13" s="40">
        <v>9.1999999999999993</v>
      </c>
      <c r="F13" s="40">
        <v>7</v>
      </c>
      <c r="G13" s="40">
        <v>-8.8000000000000007</v>
      </c>
      <c r="H13" s="40">
        <v>208.9</v>
      </c>
    </row>
    <row r="14" spans="1:10">
      <c r="A14" s="4" t="s">
        <v>638</v>
      </c>
      <c r="B14" s="4">
        <v>24.9</v>
      </c>
      <c r="C14" s="4">
        <v>-14.1</v>
      </c>
      <c r="D14" s="4">
        <v>75</v>
      </c>
      <c r="E14" s="4">
        <v>6.5</v>
      </c>
      <c r="F14" s="4">
        <v>8</v>
      </c>
      <c r="G14" s="4">
        <v>19.3</v>
      </c>
      <c r="H14" s="4">
        <v>171.1</v>
      </c>
    </row>
    <row r="15" spans="1:10">
      <c r="A15" s="4" t="s">
        <v>639</v>
      </c>
      <c r="B15" s="4">
        <v>355.2</v>
      </c>
      <c r="C15" s="4">
        <v>-19.899999999999999</v>
      </c>
      <c r="D15" s="4">
        <v>30</v>
      </c>
      <c r="E15" s="4">
        <v>11.2</v>
      </c>
      <c r="F15" s="4">
        <v>7</v>
      </c>
      <c r="G15" s="4">
        <v>18.899999999999999</v>
      </c>
      <c r="H15" s="4">
        <v>202.3</v>
      </c>
    </row>
    <row r="16" spans="1:10">
      <c r="A16" s="4" t="s">
        <v>640</v>
      </c>
      <c r="B16" s="4">
        <v>18.5</v>
      </c>
      <c r="C16" s="4">
        <v>-30.6</v>
      </c>
      <c r="D16" s="4">
        <v>128</v>
      </c>
      <c r="E16" s="4">
        <v>5.4</v>
      </c>
      <c r="F16" s="4">
        <v>7</v>
      </c>
      <c r="G16" s="4">
        <v>11.4</v>
      </c>
      <c r="H16" s="4">
        <v>179.2</v>
      </c>
    </row>
    <row r="17" spans="1:8">
      <c r="A17" s="4" t="s">
        <v>641</v>
      </c>
      <c r="B17" s="4">
        <v>11.3</v>
      </c>
      <c r="C17" s="4">
        <v>-19.899999999999999</v>
      </c>
      <c r="D17" s="4">
        <v>106</v>
      </c>
      <c r="E17" s="4">
        <v>4.0999999999999996</v>
      </c>
      <c r="F17" s="4">
        <v>13</v>
      </c>
      <c r="G17" s="4">
        <v>18.5</v>
      </c>
      <c r="H17" s="4">
        <v>185.7</v>
      </c>
    </row>
    <row r="18" spans="1:8">
      <c r="A18" s="4" t="s">
        <v>642</v>
      </c>
      <c r="B18" s="4">
        <v>17.2</v>
      </c>
      <c r="C18" s="4">
        <v>-48.7</v>
      </c>
      <c r="D18" s="4">
        <v>21</v>
      </c>
      <c r="E18" s="4">
        <v>17.2</v>
      </c>
      <c r="F18" s="4">
        <v>5</v>
      </c>
      <c r="G18" s="4">
        <v>-1.4</v>
      </c>
      <c r="H18" s="4">
        <v>182.3</v>
      </c>
    </row>
    <row r="19" spans="1:8">
      <c r="A19" s="4" t="s">
        <v>643</v>
      </c>
      <c r="B19" s="4">
        <v>23.7</v>
      </c>
      <c r="C19" s="4">
        <v>-35</v>
      </c>
      <c r="D19" s="4">
        <v>36.200000000000003</v>
      </c>
      <c r="E19" s="4">
        <v>5.5</v>
      </c>
      <c r="F19" s="4">
        <v>20</v>
      </c>
      <c r="G19" s="4">
        <v>6.2</v>
      </c>
      <c r="H19" s="4">
        <v>175.1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9DD2C0-6D13-404A-88FB-E1AAC947EF0D}">
  <dimension ref="A1:J16"/>
  <sheetViews>
    <sheetView workbookViewId="0">
      <selection sqref="A1:A1048576"/>
    </sheetView>
  </sheetViews>
  <sheetFormatPr defaultColWidth="8.81640625" defaultRowHeight="12.5"/>
  <cols>
    <col min="1" max="9" width="8.81640625" style="4"/>
    <col min="10" max="10" width="15.81640625" style="4" customWidth="1"/>
    <col min="11" max="16384" width="8.81640625" style="4"/>
  </cols>
  <sheetData>
    <row r="1" spans="1:10">
      <c r="A1" s="27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9</v>
      </c>
      <c r="J1" s="4" t="s">
        <v>8</v>
      </c>
    </row>
    <row r="2" spans="1:10" s="19" customFormat="1" ht="13.5">
      <c r="A2" s="74">
        <v>1</v>
      </c>
      <c r="B2" s="75">
        <v>7</v>
      </c>
      <c r="C2" s="19">
        <v>33.4</v>
      </c>
      <c r="D2" s="19">
        <v>143</v>
      </c>
      <c r="E2" s="19">
        <v>5.0999999999999996</v>
      </c>
      <c r="F2" s="19">
        <v>7</v>
      </c>
      <c r="G2" s="35">
        <v>44.9</v>
      </c>
      <c r="H2" s="35">
        <v>187.1</v>
      </c>
    </row>
    <row r="3" spans="1:10" ht="13.5">
      <c r="A3" s="74">
        <v>2</v>
      </c>
      <c r="B3" s="75">
        <v>13.6</v>
      </c>
      <c r="C3" s="4">
        <v>35.200000000000003</v>
      </c>
      <c r="D3" s="4">
        <v>7</v>
      </c>
      <c r="E3" s="4">
        <v>26.6</v>
      </c>
      <c r="F3" s="4">
        <v>6</v>
      </c>
      <c r="G3" s="21">
        <v>45.3</v>
      </c>
      <c r="H3" s="21">
        <v>178.1</v>
      </c>
      <c r="I3" s="19"/>
    </row>
    <row r="4" spans="1:10" ht="13.5">
      <c r="A4" s="74">
        <v>7</v>
      </c>
      <c r="B4" s="75">
        <v>26.4</v>
      </c>
      <c r="C4" s="4">
        <v>58.7</v>
      </c>
      <c r="D4" s="4">
        <v>262</v>
      </c>
      <c r="E4" s="4">
        <v>4.2</v>
      </c>
      <c r="F4" s="4">
        <v>6</v>
      </c>
      <c r="G4" s="21">
        <v>61.644766970519171</v>
      </c>
      <c r="H4" s="21">
        <v>150.30000000000001</v>
      </c>
      <c r="I4" s="19"/>
    </row>
    <row r="5" spans="1:10" ht="13.5">
      <c r="A5" s="74">
        <v>8</v>
      </c>
      <c r="B5" s="75">
        <v>42</v>
      </c>
      <c r="C5" s="4">
        <v>51.2</v>
      </c>
      <c r="D5" s="4">
        <v>73</v>
      </c>
      <c r="E5" s="4">
        <v>10.8</v>
      </c>
      <c r="F5" s="4">
        <v>4</v>
      </c>
      <c r="G5" s="21">
        <v>49.203130951416789</v>
      </c>
      <c r="H5" s="21">
        <v>136.19999999999999</v>
      </c>
      <c r="I5" s="19"/>
    </row>
    <row r="6" spans="1:10" ht="13.5">
      <c r="A6" s="74">
        <v>10</v>
      </c>
      <c r="B6" s="75">
        <v>28.7</v>
      </c>
      <c r="C6" s="4">
        <v>41.6</v>
      </c>
      <c r="D6" s="4">
        <v>39</v>
      </c>
      <c r="E6" s="4">
        <v>14.9</v>
      </c>
      <c r="F6" s="4">
        <v>4</v>
      </c>
      <c r="G6" s="21">
        <v>46.4</v>
      </c>
      <c r="H6" s="21">
        <v>157</v>
      </c>
      <c r="I6" s="19"/>
    </row>
    <row r="7" spans="1:10" ht="13.5">
      <c r="A7" s="74">
        <v>11</v>
      </c>
      <c r="B7" s="75">
        <v>30.3</v>
      </c>
      <c r="C7" s="4">
        <v>59.3</v>
      </c>
      <c r="D7" s="4">
        <v>65</v>
      </c>
      <c r="E7" s="4">
        <v>8.4</v>
      </c>
      <c r="F7" s="4">
        <v>6</v>
      </c>
      <c r="G7" s="21">
        <v>60.897575869028458</v>
      </c>
      <c r="H7" s="21">
        <v>144.1</v>
      </c>
      <c r="I7" s="19"/>
    </row>
    <row r="8" spans="1:10">
      <c r="A8" s="74">
        <v>14</v>
      </c>
      <c r="B8" s="75">
        <v>8.3000000000000007</v>
      </c>
      <c r="C8" s="4">
        <v>41.4</v>
      </c>
      <c r="D8" s="4">
        <v>15</v>
      </c>
      <c r="E8" s="4">
        <v>16.2</v>
      </c>
      <c r="F8" s="4">
        <v>7</v>
      </c>
      <c r="G8" s="21">
        <v>50.3</v>
      </c>
      <c r="H8" s="21">
        <v>184.6</v>
      </c>
    </row>
    <row r="9" spans="1:10">
      <c r="A9" s="74">
        <v>15</v>
      </c>
      <c r="B9" s="75">
        <v>27.1</v>
      </c>
      <c r="C9" s="4">
        <v>38.6</v>
      </c>
      <c r="D9" s="4">
        <v>50</v>
      </c>
      <c r="E9" s="4">
        <v>7.9</v>
      </c>
      <c r="F9" s="4">
        <v>8</v>
      </c>
      <c r="G9" s="21">
        <v>44.8</v>
      </c>
      <c r="H9" s="21">
        <v>159.9</v>
      </c>
    </row>
    <row r="10" spans="1:10">
      <c r="A10" s="74">
        <v>16</v>
      </c>
      <c r="B10" s="75">
        <v>27.6</v>
      </c>
      <c r="C10" s="4">
        <v>23</v>
      </c>
      <c r="D10" s="4">
        <v>63</v>
      </c>
      <c r="E10" s="4">
        <v>11.7</v>
      </c>
      <c r="F10" s="4">
        <v>4</v>
      </c>
      <c r="G10" s="21">
        <v>35.34835610282731</v>
      </c>
      <c r="H10" s="21">
        <v>162.80000000000001</v>
      </c>
    </row>
    <row r="11" spans="1:10">
      <c r="A11" s="74">
        <v>17</v>
      </c>
      <c r="B11" s="75">
        <v>349.9</v>
      </c>
      <c r="C11" s="4">
        <v>52.9</v>
      </c>
      <c r="D11" s="4">
        <v>25</v>
      </c>
      <c r="E11" s="4">
        <v>13.6</v>
      </c>
      <c r="F11" s="4">
        <v>6</v>
      </c>
      <c r="G11" s="21">
        <v>59.7</v>
      </c>
      <c r="H11" s="21">
        <v>213.4</v>
      </c>
    </row>
    <row r="12" spans="1:10">
      <c r="A12" s="74">
        <v>18</v>
      </c>
      <c r="B12" s="75">
        <v>17.3</v>
      </c>
      <c r="C12" s="4">
        <v>48.9</v>
      </c>
      <c r="D12" s="4">
        <v>9</v>
      </c>
      <c r="E12" s="4">
        <v>44.5</v>
      </c>
      <c r="F12" s="4">
        <v>3</v>
      </c>
      <c r="G12" s="21">
        <v>54.9</v>
      </c>
      <c r="H12" s="21">
        <v>169.8</v>
      </c>
    </row>
    <row r="13" spans="1:10">
      <c r="A13" s="74">
        <v>3</v>
      </c>
      <c r="B13" s="4">
        <v>196.8</v>
      </c>
      <c r="C13" s="4">
        <v>-55.6</v>
      </c>
      <c r="D13" s="4">
        <v>811</v>
      </c>
      <c r="E13" s="4">
        <v>2.4</v>
      </c>
      <c r="F13" s="4">
        <v>6</v>
      </c>
      <c r="G13" s="21">
        <v>-61.1</v>
      </c>
      <c r="H13" s="21">
        <v>-12.5</v>
      </c>
    </row>
    <row r="14" spans="1:10">
      <c r="A14" s="74">
        <v>4</v>
      </c>
      <c r="B14" s="4">
        <v>193.7</v>
      </c>
      <c r="C14" s="4">
        <v>-56.1</v>
      </c>
      <c r="D14" s="4">
        <v>274</v>
      </c>
      <c r="E14" s="4">
        <v>4.0999999999999996</v>
      </c>
      <c r="F14" s="4">
        <v>6</v>
      </c>
      <c r="G14" s="21">
        <v>-62.3</v>
      </c>
      <c r="H14" s="21">
        <v>-7.5</v>
      </c>
    </row>
    <row r="15" spans="1:10">
      <c r="A15" s="74">
        <v>9</v>
      </c>
      <c r="B15" s="4">
        <v>213.9</v>
      </c>
      <c r="C15" s="4">
        <v>-53.2</v>
      </c>
      <c r="D15" s="4">
        <v>439</v>
      </c>
      <c r="E15" s="4">
        <v>2.9</v>
      </c>
      <c r="F15" s="4">
        <v>7</v>
      </c>
      <c r="G15" s="21">
        <v>-53.9</v>
      </c>
      <c r="H15" s="21">
        <v>-35.4</v>
      </c>
    </row>
    <row r="16" spans="1:10">
      <c r="A16" s="74">
        <v>13</v>
      </c>
      <c r="B16" s="4">
        <v>201.4</v>
      </c>
      <c r="C16" s="4">
        <v>-26.7</v>
      </c>
      <c r="D16" s="4">
        <v>186</v>
      </c>
      <c r="E16" s="4">
        <v>4.4000000000000004</v>
      </c>
      <c r="F16" s="4">
        <v>7</v>
      </c>
      <c r="G16" s="21">
        <v>-38.799999999999997</v>
      </c>
      <c r="H16" s="21">
        <v>-10.5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3DD270-0513-4CD8-9EF4-D11F1051E644}">
  <dimension ref="A1:J38"/>
  <sheetViews>
    <sheetView workbookViewId="0">
      <selection activeCell="B2" sqref="B2:C21"/>
    </sheetView>
  </sheetViews>
  <sheetFormatPr defaultColWidth="8.81640625" defaultRowHeight="12.5"/>
  <cols>
    <col min="1" max="1" width="9.1796875" style="55"/>
    <col min="2" max="9" width="8.81640625" style="55"/>
    <col min="10" max="10" width="15.81640625" style="55" customWidth="1"/>
    <col min="11" max="16384" width="8.81640625" style="55"/>
  </cols>
  <sheetData>
    <row r="1" spans="1:10">
      <c r="A1" s="55" t="s">
        <v>0</v>
      </c>
      <c r="B1" s="55" t="s">
        <v>1</v>
      </c>
      <c r="C1" s="55" t="s">
        <v>2</v>
      </c>
      <c r="D1" s="55" t="s">
        <v>3</v>
      </c>
      <c r="E1" s="55" t="s">
        <v>4</v>
      </c>
      <c r="F1" s="55" t="s">
        <v>5</v>
      </c>
      <c r="G1" s="55" t="s">
        <v>6</v>
      </c>
      <c r="H1" s="55" t="s">
        <v>7</v>
      </c>
      <c r="I1" s="55" t="s">
        <v>9</v>
      </c>
      <c r="J1" s="55" t="s">
        <v>8</v>
      </c>
    </row>
    <row r="2" spans="1:10">
      <c r="A2" s="55" t="s">
        <v>644</v>
      </c>
      <c r="B2" s="55">
        <v>40.5</v>
      </c>
      <c r="C2" s="55">
        <v>29</v>
      </c>
      <c r="D2" s="55">
        <v>9.1999999999999993</v>
      </c>
      <c r="E2" s="55">
        <v>21</v>
      </c>
      <c r="F2" s="55">
        <v>7</v>
      </c>
      <c r="G2" s="55">
        <v>35.6</v>
      </c>
      <c r="H2" s="55">
        <v>146.1</v>
      </c>
    </row>
    <row r="3" spans="1:10">
      <c r="A3" s="55" t="s">
        <v>645</v>
      </c>
      <c r="B3" s="55">
        <v>161.69999999999999</v>
      </c>
      <c r="C3" s="55">
        <v>-63.3</v>
      </c>
      <c r="D3" s="55">
        <v>87.2</v>
      </c>
      <c r="E3" s="55">
        <v>6.5</v>
      </c>
      <c r="F3" s="55">
        <v>7</v>
      </c>
      <c r="G3" s="55">
        <v>-69.7</v>
      </c>
      <c r="H3" s="55">
        <v>55.6</v>
      </c>
    </row>
    <row r="4" spans="1:10">
      <c r="A4" s="55">
        <v>31</v>
      </c>
      <c r="B4" s="55">
        <v>58.3</v>
      </c>
      <c r="C4" s="55">
        <v>63.5</v>
      </c>
      <c r="D4" s="55">
        <v>96</v>
      </c>
      <c r="E4" s="55">
        <v>6.9</v>
      </c>
      <c r="F4" s="55">
        <v>6</v>
      </c>
      <c r="G4" s="55">
        <v>53.1</v>
      </c>
      <c r="H4" s="55">
        <v>107.1</v>
      </c>
    </row>
    <row r="5" spans="1:10">
      <c r="A5" s="55">
        <v>33</v>
      </c>
      <c r="B5" s="55">
        <v>37.5</v>
      </c>
      <c r="C5" s="55">
        <v>56.1</v>
      </c>
      <c r="D5" s="55">
        <v>42</v>
      </c>
      <c r="E5" s="55">
        <v>10.5</v>
      </c>
      <c r="F5" s="55">
        <v>6</v>
      </c>
      <c r="G5" s="55">
        <v>55.1</v>
      </c>
      <c r="H5" s="55">
        <v>137.4</v>
      </c>
    </row>
    <row r="6" spans="1:10">
      <c r="A6" s="55">
        <v>34</v>
      </c>
      <c r="B6" s="55">
        <v>357.5</v>
      </c>
      <c r="C6" s="55">
        <v>48</v>
      </c>
      <c r="D6" s="55">
        <v>141</v>
      </c>
      <c r="E6" s="55">
        <v>5.7</v>
      </c>
      <c r="F6" s="55">
        <v>6</v>
      </c>
      <c r="G6" s="55">
        <v>55.9</v>
      </c>
      <c r="H6" s="55">
        <v>200.4</v>
      </c>
    </row>
    <row r="7" spans="1:10">
      <c r="A7" s="55">
        <v>37</v>
      </c>
      <c r="B7" s="55">
        <v>181.7</v>
      </c>
      <c r="C7" s="55">
        <v>-63.9</v>
      </c>
      <c r="D7" s="55">
        <v>54</v>
      </c>
      <c r="E7" s="55">
        <v>9.1999999999999993</v>
      </c>
      <c r="F7" s="55">
        <v>6</v>
      </c>
      <c r="G7" s="55">
        <v>72</v>
      </c>
      <c r="H7" s="55">
        <v>179.3</v>
      </c>
    </row>
    <row r="8" spans="1:10">
      <c r="A8" s="55">
        <v>1</v>
      </c>
      <c r="B8" s="55">
        <v>7</v>
      </c>
      <c r="C8" s="55">
        <v>33.4</v>
      </c>
      <c r="D8" s="55">
        <v>143</v>
      </c>
      <c r="E8" s="55">
        <v>5.0999999999999996</v>
      </c>
      <c r="F8" s="55">
        <v>7</v>
      </c>
      <c r="G8" s="72">
        <v>44.9</v>
      </c>
      <c r="H8" s="55">
        <v>187.1</v>
      </c>
    </row>
    <row r="9" spans="1:10">
      <c r="A9" s="55">
        <v>2</v>
      </c>
      <c r="B9" s="55">
        <v>13.6</v>
      </c>
      <c r="C9" s="55">
        <v>35.200000000000003</v>
      </c>
      <c r="D9" s="55">
        <v>7</v>
      </c>
      <c r="E9" s="55">
        <v>26.6</v>
      </c>
      <c r="F9" s="55">
        <v>6</v>
      </c>
      <c r="G9" s="72">
        <v>45.3</v>
      </c>
      <c r="H9" s="55">
        <v>176.1</v>
      </c>
    </row>
    <row r="10" spans="1:10">
      <c r="A10" s="55">
        <v>7</v>
      </c>
      <c r="B10" s="55">
        <v>26.4</v>
      </c>
      <c r="C10" s="55">
        <v>58.7</v>
      </c>
      <c r="D10" s="55">
        <v>262</v>
      </c>
      <c r="E10" s="55">
        <v>4.2</v>
      </c>
      <c r="F10" s="55">
        <v>6</v>
      </c>
      <c r="G10" s="72">
        <v>61.6</v>
      </c>
      <c r="H10" s="55">
        <v>150.30000000000001</v>
      </c>
    </row>
    <row r="11" spans="1:10">
      <c r="A11" s="55">
        <v>8</v>
      </c>
      <c r="B11" s="55">
        <v>42</v>
      </c>
      <c r="C11" s="55">
        <v>51.2</v>
      </c>
      <c r="D11" s="55">
        <v>73</v>
      </c>
      <c r="E11" s="55">
        <v>10.8</v>
      </c>
      <c r="F11" s="55">
        <v>4</v>
      </c>
      <c r="G11" s="72">
        <v>49.2</v>
      </c>
      <c r="H11" s="55">
        <v>136.19999999999999</v>
      </c>
    </row>
    <row r="12" spans="1:10">
      <c r="A12" s="55">
        <v>10</v>
      </c>
      <c r="B12" s="55">
        <v>28.7</v>
      </c>
      <c r="C12" s="55">
        <v>41.6</v>
      </c>
      <c r="D12" s="55">
        <v>39</v>
      </c>
      <c r="E12" s="55">
        <v>14.9</v>
      </c>
      <c r="F12" s="55">
        <v>4</v>
      </c>
      <c r="G12" s="72">
        <v>46.4</v>
      </c>
      <c r="H12" s="55">
        <v>157</v>
      </c>
    </row>
    <row r="13" spans="1:10">
      <c r="A13" s="55">
        <v>11</v>
      </c>
      <c r="B13" s="55">
        <v>30.3</v>
      </c>
      <c r="C13" s="55">
        <v>59.3</v>
      </c>
      <c r="D13" s="55">
        <v>65</v>
      </c>
      <c r="E13" s="55">
        <v>8.4</v>
      </c>
      <c r="F13" s="55">
        <v>6</v>
      </c>
      <c r="G13" s="72">
        <v>60.9</v>
      </c>
      <c r="H13" s="55">
        <v>144.1</v>
      </c>
    </row>
    <row r="14" spans="1:10">
      <c r="A14" s="73">
        <v>13</v>
      </c>
      <c r="B14" s="55">
        <v>201.4</v>
      </c>
      <c r="C14" s="55">
        <v>-26.7</v>
      </c>
      <c r="D14" s="55">
        <v>186</v>
      </c>
      <c r="E14" s="55">
        <v>4.4000000000000004</v>
      </c>
      <c r="F14" s="55">
        <v>7</v>
      </c>
      <c r="G14" s="72">
        <v>50.3</v>
      </c>
      <c r="H14" s="55">
        <v>184.6</v>
      </c>
    </row>
    <row r="15" spans="1:10">
      <c r="A15" s="72">
        <v>14</v>
      </c>
      <c r="B15" s="55">
        <v>8.3000000000000007</v>
      </c>
      <c r="C15" s="55">
        <v>41.4</v>
      </c>
      <c r="D15" s="55">
        <v>15</v>
      </c>
      <c r="E15" s="55">
        <v>16.2</v>
      </c>
      <c r="F15" s="55">
        <v>7</v>
      </c>
      <c r="G15" s="72">
        <v>50.3</v>
      </c>
      <c r="H15" s="55">
        <v>184.6</v>
      </c>
    </row>
    <row r="16" spans="1:10">
      <c r="A16" s="72">
        <v>15</v>
      </c>
      <c r="B16" s="55">
        <v>27.1</v>
      </c>
      <c r="C16" s="55">
        <v>38.6</v>
      </c>
      <c r="D16" s="55">
        <v>50</v>
      </c>
      <c r="E16" s="55">
        <v>7.9</v>
      </c>
      <c r="F16" s="55">
        <v>8</v>
      </c>
      <c r="G16" s="72">
        <v>44.8</v>
      </c>
      <c r="H16" s="55">
        <v>159.9</v>
      </c>
    </row>
    <row r="17" spans="1:8">
      <c r="A17" s="72">
        <v>16</v>
      </c>
      <c r="B17" s="55">
        <v>27.6</v>
      </c>
      <c r="C17" s="55">
        <v>23</v>
      </c>
      <c r="D17" s="55">
        <v>63</v>
      </c>
      <c r="E17" s="55">
        <v>11.7</v>
      </c>
      <c r="F17" s="55">
        <v>4</v>
      </c>
      <c r="G17" s="72">
        <v>35.299999999999997</v>
      </c>
      <c r="H17" s="55">
        <v>162.80000000000001</v>
      </c>
    </row>
    <row r="18" spans="1:8">
      <c r="A18" s="72">
        <v>17</v>
      </c>
      <c r="B18" s="55">
        <v>349.9</v>
      </c>
      <c r="C18" s="55">
        <v>52.9</v>
      </c>
      <c r="D18" s="55">
        <v>25</v>
      </c>
      <c r="E18" s="55">
        <v>13.6</v>
      </c>
      <c r="F18" s="55">
        <v>6</v>
      </c>
      <c r="G18" s="72">
        <v>59.7</v>
      </c>
      <c r="H18" s="55">
        <v>213.4</v>
      </c>
    </row>
    <row r="19" spans="1:8">
      <c r="A19" s="72">
        <v>3</v>
      </c>
      <c r="B19" s="55">
        <v>196.8</v>
      </c>
      <c r="C19" s="55">
        <v>-55.6</v>
      </c>
      <c r="D19" s="55">
        <v>811</v>
      </c>
      <c r="E19" s="55">
        <v>2.4</v>
      </c>
      <c r="F19" s="55">
        <v>6</v>
      </c>
      <c r="G19" s="72">
        <v>61.1</v>
      </c>
      <c r="H19" s="55">
        <v>167.5</v>
      </c>
    </row>
    <row r="20" spans="1:8">
      <c r="A20" s="72">
        <v>4</v>
      </c>
      <c r="B20" s="55">
        <v>193.7</v>
      </c>
      <c r="C20" s="55">
        <v>-56.1</v>
      </c>
      <c r="D20" s="55">
        <v>274</v>
      </c>
      <c r="E20" s="55">
        <v>4.0999999999999996</v>
      </c>
      <c r="F20" s="55">
        <v>6</v>
      </c>
      <c r="G20" s="72">
        <v>62.3</v>
      </c>
      <c r="H20" s="55">
        <v>172.5</v>
      </c>
    </row>
    <row r="21" spans="1:8">
      <c r="A21" s="55">
        <v>9</v>
      </c>
      <c r="B21" s="55">
        <v>213.9</v>
      </c>
      <c r="C21" s="55">
        <v>-53.2</v>
      </c>
      <c r="D21" s="55">
        <v>439</v>
      </c>
      <c r="E21" s="55">
        <v>2.9</v>
      </c>
      <c r="F21" s="55">
        <v>7</v>
      </c>
      <c r="G21" s="72">
        <v>53.9</v>
      </c>
      <c r="H21" s="55">
        <v>144.6</v>
      </c>
    </row>
    <row r="24" spans="1:8">
      <c r="G24" s="72"/>
      <c r="H24" s="72"/>
    </row>
    <row r="25" spans="1:8">
      <c r="G25" s="72"/>
      <c r="H25" s="72"/>
    </row>
    <row r="26" spans="1:8">
      <c r="G26" s="72"/>
      <c r="H26" s="72"/>
    </row>
    <row r="27" spans="1:8">
      <c r="G27" s="72"/>
      <c r="H27" s="72"/>
    </row>
    <row r="28" spans="1:8">
      <c r="G28" s="72"/>
      <c r="H28" s="72"/>
    </row>
    <row r="29" spans="1:8">
      <c r="G29" s="72"/>
      <c r="H29" s="72"/>
    </row>
    <row r="30" spans="1:8">
      <c r="G30" s="72"/>
      <c r="H30" s="72"/>
    </row>
    <row r="31" spans="1:8">
      <c r="G31" s="72"/>
      <c r="H31" s="72"/>
    </row>
    <row r="32" spans="1:8">
      <c r="G32" s="72"/>
      <c r="H32" s="72"/>
    </row>
    <row r="33" spans="7:8">
      <c r="G33" s="72"/>
      <c r="H33" s="72"/>
    </row>
    <row r="34" spans="7:8">
      <c r="G34" s="72"/>
      <c r="H34" s="72"/>
    </row>
    <row r="35" spans="7:8">
      <c r="G35" s="72"/>
      <c r="H35" s="72"/>
    </row>
    <row r="36" spans="7:8">
      <c r="G36" s="72"/>
      <c r="H36" s="72"/>
    </row>
    <row r="37" spans="7:8">
      <c r="G37" s="72"/>
      <c r="H37" s="72"/>
    </row>
    <row r="38" spans="7:8">
      <c r="G38" s="72"/>
      <c r="H38" s="72"/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05F866-A713-46D1-9D7A-C971CF04C00A}">
  <dimension ref="A1:L20"/>
  <sheetViews>
    <sheetView workbookViewId="0">
      <selection sqref="A1:A1048576"/>
    </sheetView>
  </sheetViews>
  <sheetFormatPr defaultColWidth="8.81640625" defaultRowHeight="12.5"/>
  <cols>
    <col min="1" max="9" width="8.81640625" style="4"/>
    <col min="10" max="10" width="15.81640625" style="4" customWidth="1"/>
    <col min="11" max="16384" width="8.81640625" style="4"/>
  </cols>
  <sheetData>
    <row r="1" spans="1:12">
      <c r="A1" s="27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9</v>
      </c>
      <c r="J1" s="4" t="s">
        <v>8</v>
      </c>
    </row>
    <row r="2" spans="1:12" ht="13.5">
      <c r="A2" s="4" t="s">
        <v>702</v>
      </c>
      <c r="B2" s="4">
        <v>2.6</v>
      </c>
      <c r="C2" s="4">
        <v>-4.2</v>
      </c>
      <c r="D2" s="4">
        <v>8.4</v>
      </c>
      <c r="E2" s="4">
        <v>20.3</v>
      </c>
      <c r="F2" s="4">
        <v>8</v>
      </c>
      <c r="G2" s="4">
        <v>26.1</v>
      </c>
      <c r="H2" s="4">
        <v>198.7</v>
      </c>
      <c r="I2" s="13"/>
      <c r="J2" s="13"/>
      <c r="K2" s="13"/>
      <c r="L2" s="19"/>
    </row>
    <row r="3" spans="1:12" ht="13.5">
      <c r="A3" s="4" t="s">
        <v>703</v>
      </c>
      <c r="B3" s="4">
        <v>15.9</v>
      </c>
      <c r="C3" s="4">
        <v>17</v>
      </c>
      <c r="D3" s="4">
        <v>19.2</v>
      </c>
      <c r="E3" s="4">
        <v>9</v>
      </c>
      <c r="F3" s="4">
        <v>15</v>
      </c>
      <c r="G3" s="4">
        <v>35.5</v>
      </c>
      <c r="H3" s="4">
        <v>182</v>
      </c>
      <c r="I3" s="13"/>
      <c r="J3" s="13"/>
      <c r="K3" s="13"/>
      <c r="L3" s="19"/>
    </row>
    <row r="4" spans="1:12" ht="13.5">
      <c r="A4" s="4" t="s">
        <v>704</v>
      </c>
      <c r="B4" s="4">
        <v>27.2</v>
      </c>
      <c r="C4" s="4">
        <v>18.7</v>
      </c>
      <c r="D4" s="4">
        <v>17.600000000000001</v>
      </c>
      <c r="E4" s="4">
        <v>18.7</v>
      </c>
      <c r="F4" s="4">
        <v>5</v>
      </c>
      <c r="G4" s="4">
        <v>34.4</v>
      </c>
      <c r="H4" s="4">
        <v>168.2</v>
      </c>
      <c r="I4" s="13"/>
      <c r="J4" s="13"/>
      <c r="K4" s="13"/>
      <c r="L4" s="19"/>
    </row>
    <row r="5" spans="1:12" ht="13.5">
      <c r="A5" s="4" t="s">
        <v>705</v>
      </c>
      <c r="B5" s="4">
        <v>33.9</v>
      </c>
      <c r="C5" s="4">
        <v>36.1</v>
      </c>
      <c r="D5" s="4">
        <v>49.8</v>
      </c>
      <c r="E5" s="4">
        <v>10.9</v>
      </c>
      <c r="F5" s="4">
        <v>5</v>
      </c>
      <c r="G5" s="4">
        <v>42.4</v>
      </c>
      <c r="H5" s="4">
        <v>156.4</v>
      </c>
      <c r="I5" s="13"/>
      <c r="J5" s="13"/>
      <c r="K5" s="13"/>
      <c r="L5" s="19"/>
    </row>
    <row r="6" spans="1:12" ht="13.5">
      <c r="A6" s="4" t="s">
        <v>706</v>
      </c>
      <c r="B6" s="4">
        <v>22.1</v>
      </c>
      <c r="C6" s="4">
        <v>15</v>
      </c>
      <c r="D6" s="4">
        <v>14.3</v>
      </c>
      <c r="E6" s="4">
        <v>15.2</v>
      </c>
      <c r="F6" s="4">
        <v>8</v>
      </c>
      <c r="G6" s="4">
        <v>33.9</v>
      </c>
      <c r="H6" s="4">
        <v>174.4</v>
      </c>
      <c r="I6" s="13"/>
      <c r="J6" s="13"/>
      <c r="K6" s="13"/>
      <c r="L6" s="19"/>
    </row>
    <row r="7" spans="1:12" ht="13.5">
      <c r="A7" s="4" t="s">
        <v>707</v>
      </c>
      <c r="B7" s="4">
        <v>348.7</v>
      </c>
      <c r="C7" s="4">
        <v>12.8</v>
      </c>
      <c r="D7" s="4">
        <v>10.3</v>
      </c>
      <c r="E7" s="4">
        <v>30</v>
      </c>
      <c r="F7" s="4">
        <v>4</v>
      </c>
      <c r="G7" s="4">
        <v>34.700000000000003</v>
      </c>
      <c r="H7" s="4">
        <v>216.1</v>
      </c>
      <c r="I7" s="13"/>
      <c r="J7" s="13"/>
      <c r="K7" s="13"/>
      <c r="L7" s="19"/>
    </row>
    <row r="8" spans="1:12" ht="13.5">
      <c r="A8" s="4" t="s">
        <v>708</v>
      </c>
      <c r="B8" s="4">
        <v>28.3</v>
      </c>
      <c r="C8" s="4">
        <v>3.1</v>
      </c>
      <c r="D8" s="4">
        <v>10.8</v>
      </c>
      <c r="E8" s="4">
        <v>29.3</v>
      </c>
      <c r="F8" s="4">
        <v>4</v>
      </c>
      <c r="G8" s="4">
        <v>26.4</v>
      </c>
      <c r="H8" s="4">
        <v>169.6</v>
      </c>
      <c r="I8" s="13"/>
      <c r="J8" s="13"/>
      <c r="K8" s="13"/>
      <c r="L8" s="19"/>
    </row>
    <row r="9" spans="1:12" ht="13.5">
      <c r="A9" s="4" t="s">
        <v>709</v>
      </c>
      <c r="B9" s="4">
        <v>171.2</v>
      </c>
      <c r="C9" s="4">
        <v>-12.1</v>
      </c>
      <c r="D9" s="4">
        <v>12.5</v>
      </c>
      <c r="E9" s="4">
        <v>22.5</v>
      </c>
      <c r="F9" s="4">
        <v>5</v>
      </c>
      <c r="G9" s="4">
        <v>-33.6</v>
      </c>
      <c r="H9" s="4">
        <v>32</v>
      </c>
      <c r="I9" s="13"/>
      <c r="J9" s="13"/>
      <c r="K9" s="13"/>
      <c r="L9" s="19"/>
    </row>
    <row r="10" spans="1:12" ht="13.5">
      <c r="A10" s="4" t="s">
        <v>710</v>
      </c>
      <c r="B10" s="4">
        <v>186.9</v>
      </c>
      <c r="C10" s="4">
        <v>36.200000000000003</v>
      </c>
      <c r="D10" s="4">
        <v>23.7</v>
      </c>
      <c r="E10" s="4">
        <v>25.9</v>
      </c>
      <c r="F10" s="4">
        <v>3</v>
      </c>
      <c r="G10" s="4">
        <v>-6.7</v>
      </c>
      <c r="H10" s="4">
        <v>15.6</v>
      </c>
      <c r="I10" s="13"/>
      <c r="J10" s="13"/>
      <c r="K10" s="13"/>
      <c r="L10" s="19"/>
    </row>
    <row r="11" spans="1:12" ht="13.5">
      <c r="A11" s="4" t="s">
        <v>711</v>
      </c>
      <c r="B11" s="4">
        <v>188.7</v>
      </c>
      <c r="C11" s="4">
        <v>13.1</v>
      </c>
      <c r="D11" s="4">
        <v>101.1</v>
      </c>
      <c r="E11" s="4">
        <v>12.3</v>
      </c>
      <c r="F11" s="4">
        <v>3</v>
      </c>
      <c r="G11" s="4">
        <v>-20.8</v>
      </c>
      <c r="H11" s="4">
        <v>12.1</v>
      </c>
      <c r="I11" s="13"/>
      <c r="J11" s="13"/>
      <c r="K11" s="13"/>
      <c r="L11" s="19"/>
    </row>
    <row r="12" spans="1:12" ht="13.5">
      <c r="A12" s="4" t="s">
        <v>712</v>
      </c>
      <c r="B12" s="4">
        <v>189</v>
      </c>
      <c r="C12" s="4">
        <v>13.8</v>
      </c>
      <c r="D12" s="4">
        <v>117.2</v>
      </c>
      <c r="E12" s="4">
        <v>11.4</v>
      </c>
      <c r="F12" s="4">
        <v>3</v>
      </c>
      <c r="G12" s="4">
        <v>-20.399999999999999</v>
      </c>
      <c r="H12" s="4">
        <v>11.9</v>
      </c>
      <c r="I12" s="13"/>
      <c r="J12" s="13"/>
      <c r="K12" s="13"/>
      <c r="L12" s="19"/>
    </row>
    <row r="13" spans="1:12" ht="13.5">
      <c r="A13" s="4" t="s">
        <v>713</v>
      </c>
      <c r="B13" s="4">
        <v>4.5999999999999996</v>
      </c>
      <c r="C13" s="4">
        <v>-0.7</v>
      </c>
      <c r="D13" s="4">
        <v>19.8</v>
      </c>
      <c r="E13" s="4">
        <v>13.9</v>
      </c>
      <c r="F13" s="4">
        <v>7</v>
      </c>
      <c r="G13" s="4">
        <v>28.6</v>
      </c>
      <c r="H13" s="4">
        <v>196.2</v>
      </c>
      <c r="I13" s="13"/>
      <c r="J13" s="13"/>
      <c r="K13" s="13"/>
      <c r="L13" s="19"/>
    </row>
    <row r="14" spans="1:12" ht="13.5">
      <c r="A14" s="4" t="s">
        <v>714</v>
      </c>
      <c r="B14" s="4">
        <v>5.5</v>
      </c>
      <c r="C14" s="4">
        <v>-0.1</v>
      </c>
      <c r="D14" s="4">
        <v>90.6</v>
      </c>
      <c r="E14" s="4">
        <v>6.4</v>
      </c>
      <c r="F14" s="4">
        <v>17</v>
      </c>
      <c r="G14" s="4">
        <v>28.4</v>
      </c>
      <c r="H14" s="4">
        <v>195.2</v>
      </c>
      <c r="I14" s="13"/>
      <c r="J14" s="13"/>
      <c r="K14" s="13"/>
      <c r="L14" s="19"/>
    </row>
    <row r="15" spans="1:12" ht="13.5">
      <c r="A15" s="4" t="s">
        <v>702</v>
      </c>
      <c r="B15" s="4">
        <v>21.4</v>
      </c>
      <c r="C15" s="4">
        <v>-6</v>
      </c>
      <c r="F15" s="4">
        <v>2</v>
      </c>
      <c r="G15" s="4">
        <v>23.3</v>
      </c>
      <c r="H15" s="4">
        <v>178.2</v>
      </c>
      <c r="I15" s="13"/>
      <c r="J15" s="13"/>
      <c r="K15" s="13"/>
    </row>
    <row r="16" spans="1:12" ht="13.5">
      <c r="A16" s="4" t="s">
        <v>703</v>
      </c>
      <c r="B16" s="4">
        <v>22.8</v>
      </c>
      <c r="C16" s="4">
        <v>6.5</v>
      </c>
      <c r="D16" s="4">
        <v>15.6</v>
      </c>
      <c r="E16" s="4">
        <v>24</v>
      </c>
      <c r="F16" s="4">
        <v>4</v>
      </c>
      <c r="G16" s="4">
        <v>28.8</v>
      </c>
      <c r="H16" s="4">
        <v>175.4</v>
      </c>
      <c r="I16" s="13"/>
      <c r="J16" s="13"/>
      <c r="K16" s="13"/>
    </row>
    <row r="17" spans="1:11" ht="13.5">
      <c r="A17" s="4" t="s">
        <v>704</v>
      </c>
      <c r="B17" s="4">
        <v>28</v>
      </c>
      <c r="C17" s="4">
        <v>25.5</v>
      </c>
      <c r="D17" s="4">
        <v>9.6</v>
      </c>
      <c r="E17" s="4">
        <v>42.2</v>
      </c>
      <c r="F17" s="4">
        <v>3</v>
      </c>
      <c r="G17" s="4">
        <v>38.1</v>
      </c>
      <c r="H17" s="4">
        <v>167.1</v>
      </c>
      <c r="I17" s="13"/>
      <c r="J17" s="13"/>
      <c r="K17" s="13"/>
    </row>
    <row r="18" spans="1:11" ht="13.5">
      <c r="A18" s="4" t="s">
        <v>709</v>
      </c>
      <c r="B18" s="4">
        <v>183.2</v>
      </c>
      <c r="C18" s="4">
        <v>3.6</v>
      </c>
      <c r="F18" s="4">
        <v>5</v>
      </c>
      <c r="G18" s="4">
        <v>25.9</v>
      </c>
      <c r="H18" s="4">
        <v>197.8</v>
      </c>
      <c r="I18" s="13"/>
      <c r="J18" s="13"/>
      <c r="K18" s="13"/>
    </row>
    <row r="19" spans="1:11" ht="13.5">
      <c r="A19" s="4" t="s">
        <v>715</v>
      </c>
      <c r="B19" s="4">
        <v>174.8</v>
      </c>
      <c r="C19" s="4">
        <v>5.0999999999999996</v>
      </c>
      <c r="F19" s="4">
        <v>1</v>
      </c>
      <c r="G19" s="4">
        <v>-25.2</v>
      </c>
      <c r="H19" s="4">
        <v>27.1</v>
      </c>
      <c r="I19" s="13"/>
      <c r="J19" s="13"/>
      <c r="K19" s="13"/>
    </row>
    <row r="20" spans="1:11" ht="13.5">
      <c r="A20" s="4" t="s">
        <v>707</v>
      </c>
      <c r="B20" s="4">
        <v>8.3000000000000007</v>
      </c>
      <c r="C20" s="4">
        <v>-3.5</v>
      </c>
      <c r="F20" s="4">
        <v>1</v>
      </c>
      <c r="G20" s="4">
        <v>26.3</v>
      </c>
      <c r="H20" s="4">
        <v>192.4</v>
      </c>
      <c r="I20" s="13"/>
      <c r="J20" s="13"/>
      <c r="K20" s="13"/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B96AC6-7CCF-40D2-BD88-BD79D279D178}">
  <dimension ref="A1:O77"/>
  <sheetViews>
    <sheetView topLeftCell="A62" workbookViewId="0">
      <selection activeCell="A6" sqref="A1:A1048576"/>
    </sheetView>
  </sheetViews>
  <sheetFormatPr defaultColWidth="8.81640625" defaultRowHeight="12.5"/>
  <cols>
    <col min="1" max="9" width="8.81640625" style="4"/>
    <col min="10" max="10" width="15.81640625" style="4" customWidth="1"/>
    <col min="11" max="16384" width="8.81640625" style="4"/>
  </cols>
  <sheetData>
    <row r="1" spans="1:15">
      <c r="A1" s="27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9</v>
      </c>
      <c r="J1" s="4" t="s">
        <v>8</v>
      </c>
    </row>
    <row r="2" spans="1:15" ht="13.5">
      <c r="A2" s="4" t="s">
        <v>646</v>
      </c>
      <c r="B2" s="4">
        <v>11.1</v>
      </c>
      <c r="C2" s="4">
        <v>22</v>
      </c>
      <c r="D2" s="4">
        <v>25</v>
      </c>
      <c r="E2" s="4">
        <v>25.2</v>
      </c>
      <c r="F2" s="4">
        <v>3</v>
      </c>
      <c r="G2" s="4">
        <v>40.6</v>
      </c>
      <c r="H2" s="4">
        <v>185.9</v>
      </c>
      <c r="I2" s="13"/>
      <c r="J2" s="28"/>
      <c r="K2" s="13"/>
      <c r="L2" s="19"/>
      <c r="M2" s="19"/>
      <c r="N2" s="19"/>
      <c r="O2" s="19"/>
    </row>
    <row r="3" spans="1:15" ht="13.5">
      <c r="A3" s="4" t="s">
        <v>647</v>
      </c>
      <c r="B3" s="4">
        <v>352.2</v>
      </c>
      <c r="C3" s="4">
        <v>6.2</v>
      </c>
      <c r="F3" s="4">
        <v>1</v>
      </c>
      <c r="G3" s="4">
        <v>32.4</v>
      </c>
      <c r="H3" s="4">
        <v>210.6</v>
      </c>
      <c r="I3" s="13"/>
    </row>
    <row r="4" spans="1:15" ht="13.5">
      <c r="A4" s="4" t="s">
        <v>648</v>
      </c>
      <c r="B4" s="4">
        <v>7.9</v>
      </c>
      <c r="C4" s="4">
        <v>10</v>
      </c>
      <c r="F4" s="4">
        <v>1</v>
      </c>
      <c r="G4" s="4">
        <v>34.299999999999997</v>
      </c>
      <c r="H4" s="4">
        <v>191.7</v>
      </c>
      <c r="I4" s="13"/>
    </row>
    <row r="5" spans="1:15" ht="13.5">
      <c r="A5" s="4" t="s">
        <v>649</v>
      </c>
      <c r="B5" s="4">
        <v>15</v>
      </c>
      <c r="C5" s="4">
        <v>-3.9</v>
      </c>
      <c r="D5" s="4">
        <v>45.1</v>
      </c>
      <c r="E5" s="4">
        <v>11.5</v>
      </c>
      <c r="F5" s="4">
        <v>5</v>
      </c>
      <c r="G5" s="4">
        <v>26.6</v>
      </c>
      <c r="H5" s="4">
        <v>184.5</v>
      </c>
      <c r="I5" s="13"/>
    </row>
    <row r="6" spans="1:15" ht="13.5">
      <c r="A6" s="4" t="s">
        <v>650</v>
      </c>
      <c r="B6" s="4">
        <v>15.8</v>
      </c>
      <c r="C6" s="4">
        <v>28.2</v>
      </c>
      <c r="F6" s="4">
        <v>2</v>
      </c>
      <c r="G6" s="4">
        <v>43.4</v>
      </c>
      <c r="H6" s="4">
        <v>178.6</v>
      </c>
      <c r="I6" s="13"/>
    </row>
    <row r="7" spans="1:15" ht="13.5">
      <c r="A7" s="4" t="s">
        <v>651</v>
      </c>
      <c r="B7" s="4">
        <v>12.2</v>
      </c>
      <c r="C7" s="4">
        <v>-8.1</v>
      </c>
      <c r="F7" s="4">
        <v>2</v>
      </c>
      <c r="G7" s="4">
        <v>24.8</v>
      </c>
      <c r="H7" s="4">
        <v>187.7</v>
      </c>
      <c r="I7" s="13"/>
    </row>
    <row r="8" spans="1:15">
      <c r="A8" s="4" t="s">
        <v>652</v>
      </c>
      <c r="B8" s="4">
        <v>9.6999999999999993</v>
      </c>
      <c r="C8" s="4">
        <v>15</v>
      </c>
      <c r="D8" s="4">
        <v>114.6</v>
      </c>
      <c r="E8" s="4">
        <v>3.3</v>
      </c>
      <c r="F8" s="4">
        <v>46</v>
      </c>
      <c r="G8" s="4">
        <v>37.200000000000003</v>
      </c>
      <c r="H8" s="4">
        <v>188.6</v>
      </c>
    </row>
    <row r="9" spans="1:15">
      <c r="A9" s="4" t="s">
        <v>652</v>
      </c>
      <c r="B9" s="4">
        <v>5.5</v>
      </c>
      <c r="C9" s="4">
        <v>6.8</v>
      </c>
      <c r="D9" s="4">
        <v>16.100000000000001</v>
      </c>
      <c r="E9" s="4">
        <v>17.2</v>
      </c>
      <c r="F9" s="4">
        <v>11</v>
      </c>
      <c r="G9" s="4">
        <v>33.1</v>
      </c>
      <c r="H9" s="4">
        <v>194</v>
      </c>
    </row>
    <row r="10" spans="1:15">
      <c r="A10" s="4" t="s">
        <v>653</v>
      </c>
      <c r="B10" s="4">
        <v>13.5</v>
      </c>
      <c r="C10" s="4">
        <v>4.5</v>
      </c>
      <c r="D10" s="4">
        <v>58.3</v>
      </c>
      <c r="E10" s="4">
        <v>6.8</v>
      </c>
      <c r="F10" s="4">
        <v>26</v>
      </c>
      <c r="G10" s="4">
        <v>31.3</v>
      </c>
      <c r="H10" s="4">
        <v>184</v>
      </c>
    </row>
    <row r="11" spans="1:15">
      <c r="A11" s="4" t="s">
        <v>654</v>
      </c>
      <c r="B11" s="4">
        <v>24.3</v>
      </c>
      <c r="C11" s="4">
        <v>26</v>
      </c>
      <c r="D11" s="4">
        <v>71.400000000000006</v>
      </c>
      <c r="E11" s="4">
        <v>14.7</v>
      </c>
      <c r="F11" s="4">
        <v>5</v>
      </c>
      <c r="G11" s="4">
        <v>40.4</v>
      </c>
      <c r="H11" s="4">
        <v>169.1</v>
      </c>
    </row>
    <row r="12" spans="1:15">
      <c r="A12" s="4" t="s">
        <v>655</v>
      </c>
      <c r="B12" s="4">
        <v>12.4</v>
      </c>
      <c r="C12" s="4">
        <v>38</v>
      </c>
      <c r="D12" s="4">
        <v>273</v>
      </c>
      <c r="E12" s="4">
        <v>5.6</v>
      </c>
      <c r="F12" s="4">
        <v>4</v>
      </c>
      <c r="G12" s="4">
        <v>50</v>
      </c>
      <c r="H12" s="4">
        <v>182.8</v>
      </c>
    </row>
    <row r="13" spans="1:15">
      <c r="A13" s="4" t="s">
        <v>653</v>
      </c>
      <c r="B13" s="4">
        <v>7.2</v>
      </c>
      <c r="C13" s="4">
        <v>15.4</v>
      </c>
      <c r="D13" s="4">
        <v>33.9</v>
      </c>
      <c r="E13" s="4">
        <v>13.3</v>
      </c>
      <c r="F13" s="4">
        <v>13</v>
      </c>
      <c r="G13" s="4">
        <v>37.6</v>
      </c>
      <c r="H13" s="4">
        <v>190.6</v>
      </c>
    </row>
    <row r="14" spans="1:15">
      <c r="A14" s="4" t="s">
        <v>656</v>
      </c>
      <c r="B14" s="4">
        <v>23.6</v>
      </c>
      <c r="C14" s="4">
        <v>-5.5</v>
      </c>
      <c r="D14" s="4">
        <v>107</v>
      </c>
      <c r="E14" s="4">
        <v>8.9</v>
      </c>
      <c r="F14" s="4">
        <v>4</v>
      </c>
      <c r="G14" s="4">
        <v>24.5</v>
      </c>
      <c r="H14" s="4">
        <v>174.4</v>
      </c>
    </row>
    <row r="15" spans="1:15">
      <c r="A15" s="4" t="s">
        <v>657</v>
      </c>
      <c r="B15" s="4">
        <v>5.3</v>
      </c>
      <c r="C15" s="4">
        <v>6.4</v>
      </c>
      <c r="D15" s="4">
        <v>83</v>
      </c>
      <c r="E15" s="4">
        <v>10.1</v>
      </c>
      <c r="F15" s="4">
        <v>7</v>
      </c>
      <c r="G15" s="4">
        <v>33</v>
      </c>
      <c r="H15" s="4">
        <v>193.5</v>
      </c>
    </row>
    <row r="16" spans="1:15">
      <c r="A16" s="4" t="s">
        <v>646</v>
      </c>
      <c r="B16" s="4">
        <v>11.3</v>
      </c>
      <c r="C16" s="4">
        <v>22.8</v>
      </c>
      <c r="F16" s="4">
        <v>2</v>
      </c>
      <c r="G16" s="4">
        <v>40.9</v>
      </c>
      <c r="H16" s="4">
        <v>185.9</v>
      </c>
    </row>
    <row r="17" spans="1:8">
      <c r="A17" s="4" t="s">
        <v>658</v>
      </c>
      <c r="B17" s="4">
        <v>357.8</v>
      </c>
      <c r="C17" s="4">
        <v>11.3</v>
      </c>
      <c r="F17" s="4">
        <v>1</v>
      </c>
      <c r="G17" s="4">
        <v>35.299999999999997</v>
      </c>
      <c r="H17" s="4">
        <v>204</v>
      </c>
    </row>
    <row r="18" spans="1:8">
      <c r="A18" s="4" t="s">
        <v>650</v>
      </c>
      <c r="B18" s="4">
        <v>35.4</v>
      </c>
      <c r="C18" s="4">
        <v>11.4</v>
      </c>
      <c r="F18" s="4">
        <v>1</v>
      </c>
      <c r="G18" s="4">
        <v>29.4</v>
      </c>
      <c r="H18" s="4">
        <v>158.4</v>
      </c>
    </row>
    <row r="19" spans="1:8">
      <c r="A19" s="4" t="s">
        <v>652</v>
      </c>
      <c r="B19" s="4">
        <v>13.9</v>
      </c>
      <c r="C19" s="4">
        <v>29.2</v>
      </c>
      <c r="F19" s="4">
        <v>6</v>
      </c>
      <c r="G19" s="4">
        <v>44.4</v>
      </c>
      <c r="H19" s="4">
        <v>181.7</v>
      </c>
    </row>
    <row r="20" spans="1:8">
      <c r="A20" s="4" t="s">
        <v>652</v>
      </c>
      <c r="B20" s="4">
        <v>13.6</v>
      </c>
      <c r="C20" s="4">
        <v>16.2</v>
      </c>
      <c r="D20" s="4">
        <v>97.7</v>
      </c>
      <c r="E20" s="4">
        <v>6.1</v>
      </c>
      <c r="F20" s="4">
        <v>17</v>
      </c>
      <c r="G20" s="4">
        <v>37.299999999999997</v>
      </c>
      <c r="H20" s="4">
        <v>183.6</v>
      </c>
    </row>
    <row r="21" spans="1:8">
      <c r="A21" s="4" t="s">
        <v>653</v>
      </c>
      <c r="B21" s="4">
        <v>20.100000000000001</v>
      </c>
      <c r="C21" s="4">
        <v>0.3</v>
      </c>
      <c r="F21" s="4">
        <v>10</v>
      </c>
      <c r="G21" s="4">
        <v>38.700000000000003</v>
      </c>
      <c r="H21" s="4">
        <v>177.9</v>
      </c>
    </row>
    <row r="22" spans="1:8">
      <c r="A22" s="4" t="s">
        <v>654</v>
      </c>
      <c r="B22" s="4">
        <v>16.5</v>
      </c>
      <c r="C22" s="4">
        <v>20.399999999999999</v>
      </c>
      <c r="D22" s="4">
        <v>333.3</v>
      </c>
      <c r="E22" s="4">
        <v>3.7</v>
      </c>
      <c r="F22" s="4">
        <v>22</v>
      </c>
      <c r="G22" s="4">
        <v>39</v>
      </c>
      <c r="H22" s="4">
        <v>179.7</v>
      </c>
    </row>
    <row r="23" spans="1:8">
      <c r="A23" s="4" t="s">
        <v>659</v>
      </c>
      <c r="B23" s="4">
        <v>8</v>
      </c>
      <c r="C23" s="4">
        <v>8</v>
      </c>
      <c r="F23" s="4">
        <v>2</v>
      </c>
      <c r="G23" s="4">
        <v>33.700000000000003</v>
      </c>
      <c r="H23" s="4">
        <v>191</v>
      </c>
    </row>
    <row r="24" spans="1:8">
      <c r="A24" s="4" t="s">
        <v>659</v>
      </c>
      <c r="B24" s="4">
        <v>14</v>
      </c>
      <c r="C24" s="4">
        <v>19</v>
      </c>
      <c r="E24" s="4">
        <v>9.9</v>
      </c>
      <c r="F24" s="4">
        <v>7</v>
      </c>
      <c r="G24" s="4">
        <v>38.700000000000003</v>
      </c>
      <c r="H24" s="4">
        <v>182.8</v>
      </c>
    </row>
    <row r="25" spans="1:8">
      <c r="A25" s="4" t="s">
        <v>660</v>
      </c>
      <c r="B25" s="4">
        <v>14</v>
      </c>
      <c r="C25" s="4">
        <v>11</v>
      </c>
      <c r="E25" s="4">
        <v>1</v>
      </c>
      <c r="F25" s="4">
        <v>7</v>
      </c>
      <c r="G25" s="4">
        <v>34.5</v>
      </c>
      <c r="H25" s="4">
        <v>183.6</v>
      </c>
    </row>
    <row r="26" spans="1:8">
      <c r="A26" s="4" t="s">
        <v>661</v>
      </c>
      <c r="B26" s="4">
        <v>14</v>
      </c>
      <c r="C26" s="4">
        <v>-6</v>
      </c>
      <c r="E26" s="4">
        <v>5.7</v>
      </c>
      <c r="F26" s="4">
        <v>7</v>
      </c>
      <c r="G26" s="4">
        <v>26</v>
      </c>
      <c r="H26" s="4">
        <v>185</v>
      </c>
    </row>
    <row r="27" spans="1:8">
      <c r="A27" s="4" t="s">
        <v>662</v>
      </c>
      <c r="B27" s="4">
        <v>13</v>
      </c>
      <c r="C27" s="4">
        <v>10</v>
      </c>
      <c r="F27" s="4">
        <v>7</v>
      </c>
      <c r="G27" s="4">
        <v>34.200000000000003</v>
      </c>
      <c r="H27" s="4">
        <v>184.8</v>
      </c>
    </row>
    <row r="28" spans="1:8">
      <c r="A28" s="4" t="s">
        <v>663</v>
      </c>
      <c r="B28" s="4">
        <v>19</v>
      </c>
      <c r="C28" s="4">
        <v>11</v>
      </c>
      <c r="F28" s="4">
        <v>7</v>
      </c>
      <c r="G28" s="4">
        <v>33.700000000000003</v>
      </c>
      <c r="H28" s="4">
        <v>177.6</v>
      </c>
    </row>
    <row r="29" spans="1:8">
      <c r="A29" s="4" t="s">
        <v>664</v>
      </c>
      <c r="B29" s="4">
        <v>2</v>
      </c>
      <c r="C29" s="4">
        <v>12</v>
      </c>
      <c r="F29" s="4">
        <v>7</v>
      </c>
      <c r="G29" s="4">
        <v>36.1</v>
      </c>
      <c r="H29" s="4">
        <v>198.1</v>
      </c>
    </row>
    <row r="30" spans="1:8">
      <c r="A30" s="4" t="s">
        <v>665</v>
      </c>
      <c r="B30" s="4">
        <v>13</v>
      </c>
      <c r="C30" s="4">
        <v>5</v>
      </c>
      <c r="F30" s="4">
        <v>7</v>
      </c>
      <c r="G30" s="4">
        <v>31.7</v>
      </c>
      <c r="H30" s="4">
        <v>185.2</v>
      </c>
    </row>
    <row r="31" spans="1:8">
      <c r="A31" s="4" t="s">
        <v>666</v>
      </c>
      <c r="B31" s="4">
        <v>6</v>
      </c>
      <c r="C31" s="4">
        <v>-31</v>
      </c>
      <c r="F31" s="4">
        <v>7</v>
      </c>
      <c r="G31" s="4">
        <v>13.1</v>
      </c>
      <c r="H31" s="4">
        <v>194.7</v>
      </c>
    </row>
    <row r="32" spans="1:8">
      <c r="A32" s="4" t="s">
        <v>667</v>
      </c>
      <c r="B32" s="4">
        <v>11.2</v>
      </c>
      <c r="C32" s="4">
        <v>-2.8</v>
      </c>
      <c r="D32" s="4">
        <v>29</v>
      </c>
      <c r="E32" s="4">
        <v>12.7</v>
      </c>
      <c r="F32" s="4">
        <v>25</v>
      </c>
      <c r="G32" s="4">
        <v>27.8</v>
      </c>
      <c r="H32" s="4">
        <v>187.5</v>
      </c>
    </row>
    <row r="33" spans="1:8">
      <c r="A33" s="4" t="s">
        <v>668</v>
      </c>
      <c r="B33" s="4">
        <v>177.8</v>
      </c>
      <c r="C33" s="4">
        <v>19.3</v>
      </c>
      <c r="D33" s="4">
        <v>22.8</v>
      </c>
      <c r="E33" s="4">
        <v>16.399999999999999</v>
      </c>
      <c r="F33" s="4">
        <v>5</v>
      </c>
      <c r="G33" s="4">
        <v>19.600000000000001</v>
      </c>
      <c r="H33" s="4">
        <v>203.3</v>
      </c>
    </row>
    <row r="34" spans="1:8">
      <c r="A34" s="4" t="s">
        <v>669</v>
      </c>
      <c r="B34" s="4">
        <v>176.9</v>
      </c>
      <c r="C34" s="4">
        <v>10.8</v>
      </c>
      <c r="D34" s="4">
        <v>28.5</v>
      </c>
      <c r="E34" s="4">
        <v>10.6</v>
      </c>
      <c r="F34" s="4">
        <v>8</v>
      </c>
      <c r="G34" s="4">
        <v>24.1</v>
      </c>
      <c r="H34" s="4">
        <v>204.4</v>
      </c>
    </row>
    <row r="35" spans="1:8">
      <c r="A35" s="4" t="s">
        <v>670</v>
      </c>
      <c r="B35" s="4">
        <v>186.4</v>
      </c>
      <c r="C35" s="4">
        <v>21.7</v>
      </c>
      <c r="D35" s="4">
        <v>14.6</v>
      </c>
      <c r="E35" s="4">
        <v>24.9</v>
      </c>
      <c r="F35" s="4">
        <v>4</v>
      </c>
      <c r="G35" s="4">
        <v>18.2</v>
      </c>
      <c r="H35" s="4">
        <v>194.5</v>
      </c>
    </row>
    <row r="36" spans="1:8">
      <c r="A36" s="4" t="s">
        <v>671</v>
      </c>
      <c r="B36" s="4">
        <v>165.6</v>
      </c>
      <c r="C36" s="4">
        <v>28.1</v>
      </c>
      <c r="F36" s="4">
        <v>2</v>
      </c>
      <c r="G36" s="4">
        <v>13.8</v>
      </c>
      <c r="H36" s="4">
        <v>215.4</v>
      </c>
    </row>
    <row r="37" spans="1:8">
      <c r="A37" s="4" t="s">
        <v>672</v>
      </c>
      <c r="B37" s="4">
        <v>172.2</v>
      </c>
      <c r="C37" s="4">
        <v>19.7</v>
      </c>
      <c r="D37" s="4">
        <v>17.899999999999999</v>
      </c>
      <c r="E37" s="4">
        <v>30</v>
      </c>
      <c r="F37" s="4">
        <v>3</v>
      </c>
      <c r="G37" s="4">
        <v>19.2</v>
      </c>
      <c r="H37" s="4">
        <v>209.2</v>
      </c>
    </row>
    <row r="38" spans="1:8">
      <c r="A38" s="4" t="s">
        <v>673</v>
      </c>
      <c r="B38" s="4">
        <v>178.4</v>
      </c>
      <c r="C38" s="4">
        <v>19.600000000000001</v>
      </c>
      <c r="D38" s="4">
        <v>271.2</v>
      </c>
      <c r="E38" s="4">
        <v>7.5</v>
      </c>
      <c r="F38" s="4">
        <v>3</v>
      </c>
      <c r="G38" s="4">
        <v>19.5</v>
      </c>
      <c r="H38" s="4">
        <v>202.7</v>
      </c>
    </row>
    <row r="39" spans="1:8">
      <c r="A39" s="4" t="s">
        <v>674</v>
      </c>
      <c r="B39" s="4">
        <v>182.9</v>
      </c>
      <c r="C39" s="4">
        <v>28.9</v>
      </c>
      <c r="D39" s="4">
        <v>34.700000000000003</v>
      </c>
      <c r="E39" s="4">
        <v>2.1</v>
      </c>
      <c r="F39" s="4">
        <v>3</v>
      </c>
      <c r="G39" s="4">
        <v>14.1</v>
      </c>
      <c r="H39" s="4">
        <v>198.1</v>
      </c>
    </row>
    <row r="40" spans="1:8">
      <c r="A40" s="4" t="s">
        <v>675</v>
      </c>
      <c r="B40" s="4">
        <v>194.4</v>
      </c>
      <c r="C40" s="4">
        <v>18.899999999999999</v>
      </c>
      <c r="F40" s="4">
        <v>1</v>
      </c>
      <c r="G40" s="4">
        <v>18.899999999999999</v>
      </c>
      <c r="H40" s="4">
        <v>186</v>
      </c>
    </row>
    <row r="41" spans="1:8">
      <c r="A41" s="4" t="s">
        <v>676</v>
      </c>
      <c r="B41" s="4">
        <v>179.8</v>
      </c>
      <c r="C41" s="4">
        <v>25</v>
      </c>
      <c r="D41" s="4">
        <v>64.8</v>
      </c>
      <c r="E41" s="4">
        <v>7.6</v>
      </c>
      <c r="F41" s="4">
        <v>7</v>
      </c>
      <c r="G41" s="4">
        <v>16.5</v>
      </c>
      <c r="H41" s="4">
        <v>201.2</v>
      </c>
    </row>
    <row r="42" spans="1:8">
      <c r="A42" s="4" t="s">
        <v>677</v>
      </c>
      <c r="B42" s="4">
        <v>173.9</v>
      </c>
      <c r="C42" s="4">
        <v>17.3</v>
      </c>
      <c r="D42" s="4">
        <v>251</v>
      </c>
      <c r="E42" s="4">
        <v>3.8</v>
      </c>
      <c r="F42" s="4">
        <v>7</v>
      </c>
      <c r="G42" s="4">
        <v>20.6</v>
      </c>
      <c r="H42" s="4">
        <v>207.5</v>
      </c>
    </row>
    <row r="43" spans="1:8">
      <c r="A43" s="4" t="s">
        <v>678</v>
      </c>
      <c r="B43" s="4">
        <v>175.1</v>
      </c>
      <c r="C43" s="4">
        <v>21.8</v>
      </c>
      <c r="D43" s="4">
        <v>63.1</v>
      </c>
      <c r="E43" s="4">
        <v>7.7</v>
      </c>
      <c r="F43" s="4">
        <v>7</v>
      </c>
      <c r="G43" s="4">
        <v>18.2</v>
      </c>
      <c r="H43" s="4">
        <v>206.2</v>
      </c>
    </row>
    <row r="44" spans="1:8">
      <c r="A44" s="4" t="s">
        <v>679</v>
      </c>
      <c r="B44" s="4">
        <v>175</v>
      </c>
      <c r="C44" s="4">
        <v>18.3</v>
      </c>
      <c r="D44" s="4">
        <v>118.1</v>
      </c>
      <c r="E44" s="4">
        <v>6.2</v>
      </c>
      <c r="F44" s="4">
        <v>6</v>
      </c>
      <c r="G44" s="4">
        <v>20.100000000000001</v>
      </c>
      <c r="H44" s="4">
        <v>206.3</v>
      </c>
    </row>
    <row r="45" spans="1:8">
      <c r="A45" s="4" t="s">
        <v>680</v>
      </c>
      <c r="B45" s="4">
        <v>175.4</v>
      </c>
      <c r="C45" s="4">
        <v>22.5</v>
      </c>
      <c r="D45" s="4">
        <v>97.4</v>
      </c>
      <c r="E45" s="4">
        <v>6.1</v>
      </c>
      <c r="F45" s="4">
        <v>7</v>
      </c>
      <c r="G45" s="4">
        <v>17.899999999999999</v>
      </c>
      <c r="H45" s="4">
        <v>205.8</v>
      </c>
    </row>
    <row r="46" spans="1:8">
      <c r="A46" s="4" t="s">
        <v>681</v>
      </c>
      <c r="B46" s="4">
        <v>171.7</v>
      </c>
      <c r="C46" s="4">
        <v>18.600000000000001</v>
      </c>
      <c r="F46" s="4">
        <v>2</v>
      </c>
      <c r="G46" s="4">
        <v>19.8</v>
      </c>
      <c r="H46" s="4">
        <v>209.8</v>
      </c>
    </row>
    <row r="47" spans="1:8">
      <c r="A47" s="4" t="s">
        <v>682</v>
      </c>
      <c r="B47" s="4">
        <v>180.7</v>
      </c>
      <c r="C47" s="4">
        <v>21.5</v>
      </c>
      <c r="D47" s="4">
        <v>56.2</v>
      </c>
      <c r="E47" s="4">
        <v>8.1</v>
      </c>
      <c r="F47" s="4">
        <v>7</v>
      </c>
      <c r="G47" s="4">
        <v>18.5</v>
      </c>
      <c r="H47" s="4">
        <v>200.4</v>
      </c>
    </row>
    <row r="48" spans="1:8">
      <c r="A48" s="4" t="s">
        <v>683</v>
      </c>
      <c r="B48" s="4">
        <v>176.7</v>
      </c>
      <c r="C48" s="4">
        <v>33.200000000000003</v>
      </c>
      <c r="D48" s="4">
        <v>71.099999999999994</v>
      </c>
      <c r="E48" s="4">
        <v>9.1</v>
      </c>
      <c r="F48" s="4">
        <v>5</v>
      </c>
      <c r="G48" s="4">
        <v>11.5</v>
      </c>
      <c r="H48" s="4">
        <v>204.3</v>
      </c>
    </row>
    <row r="49" spans="1:8">
      <c r="A49" s="4" t="s">
        <v>684</v>
      </c>
      <c r="B49" s="4">
        <v>200.4</v>
      </c>
      <c r="C49" s="4">
        <v>25.1</v>
      </c>
      <c r="F49" s="4">
        <v>3</v>
      </c>
      <c r="G49" s="4">
        <v>14.9</v>
      </c>
      <c r="H49" s="4">
        <v>179.3</v>
      </c>
    </row>
    <row r="50" spans="1:8">
      <c r="A50" s="4" t="s">
        <v>685</v>
      </c>
      <c r="B50" s="4">
        <v>186</v>
      </c>
      <c r="C50" s="4">
        <v>24.7</v>
      </c>
      <c r="D50" s="4">
        <v>46.1</v>
      </c>
      <c r="E50" s="4">
        <v>9</v>
      </c>
      <c r="F50" s="4">
        <v>10</v>
      </c>
      <c r="G50" s="4">
        <v>16.600000000000001</v>
      </c>
      <c r="H50" s="4">
        <v>194.9</v>
      </c>
    </row>
    <row r="51" spans="1:8">
      <c r="A51" s="4" t="s">
        <v>686</v>
      </c>
      <c r="B51" s="4">
        <v>187.1</v>
      </c>
      <c r="C51" s="4">
        <v>30.5</v>
      </c>
      <c r="F51" s="4">
        <v>5</v>
      </c>
      <c r="G51" s="4">
        <v>12.2</v>
      </c>
      <c r="H51" s="4">
        <v>157.4</v>
      </c>
    </row>
    <row r="52" spans="1:8">
      <c r="A52" s="4" t="s">
        <v>687</v>
      </c>
      <c r="B52" s="4">
        <v>202.8</v>
      </c>
      <c r="C52" s="4">
        <v>18.7</v>
      </c>
      <c r="D52" s="4">
        <v>118.6</v>
      </c>
      <c r="E52" s="4">
        <v>4.7</v>
      </c>
      <c r="F52" s="4">
        <v>30</v>
      </c>
      <c r="G52" s="4">
        <v>17.8</v>
      </c>
      <c r="H52" s="4">
        <v>177.1</v>
      </c>
    </row>
    <row r="53" spans="1:8">
      <c r="A53" s="4" t="s">
        <v>688</v>
      </c>
      <c r="B53" s="4">
        <v>183.3</v>
      </c>
      <c r="C53" s="4">
        <v>5.6</v>
      </c>
      <c r="D53" s="4">
        <v>12.5</v>
      </c>
      <c r="E53" s="4">
        <v>22.5</v>
      </c>
      <c r="F53" s="4">
        <v>5</v>
      </c>
      <c r="G53" s="4">
        <v>27</v>
      </c>
      <c r="H53" s="4">
        <v>196.4</v>
      </c>
    </row>
    <row r="54" spans="1:8">
      <c r="A54" s="4" t="s">
        <v>689</v>
      </c>
      <c r="B54" s="4">
        <v>183.6</v>
      </c>
      <c r="C54" s="4">
        <v>11</v>
      </c>
      <c r="D54" s="4">
        <v>166.3</v>
      </c>
      <c r="E54" s="4">
        <v>4.7</v>
      </c>
      <c r="F54" s="4">
        <v>13</v>
      </c>
      <c r="G54" s="4">
        <v>24.3</v>
      </c>
      <c r="H54" s="4">
        <v>196.1</v>
      </c>
    </row>
    <row r="55" spans="1:8">
      <c r="A55" s="4" t="s">
        <v>690</v>
      </c>
      <c r="B55" s="4">
        <v>190.5</v>
      </c>
      <c r="C55" s="4">
        <v>19.600000000000001</v>
      </c>
      <c r="D55" s="4">
        <v>67.5</v>
      </c>
      <c r="E55" s="4">
        <v>9.4</v>
      </c>
      <c r="F55" s="4">
        <v>11</v>
      </c>
      <c r="G55" s="4">
        <v>19.2</v>
      </c>
      <c r="H55" s="4">
        <v>190</v>
      </c>
    </row>
    <row r="56" spans="1:8">
      <c r="A56" s="4" t="s">
        <v>691</v>
      </c>
      <c r="B56" s="4">
        <v>187.8</v>
      </c>
      <c r="C56" s="4">
        <v>27.1</v>
      </c>
      <c r="D56" s="4">
        <v>27.6</v>
      </c>
      <c r="E56" s="4">
        <v>9.4</v>
      </c>
      <c r="F56" s="4">
        <v>18</v>
      </c>
      <c r="G56" s="4">
        <v>15.1</v>
      </c>
      <c r="H56" s="4">
        <v>193.1</v>
      </c>
    </row>
    <row r="57" spans="1:8">
      <c r="A57" s="4" t="s">
        <v>691</v>
      </c>
      <c r="B57" s="4">
        <v>190.5</v>
      </c>
      <c r="C57" s="4">
        <v>22.2</v>
      </c>
      <c r="D57" s="4">
        <v>92.1</v>
      </c>
      <c r="E57" s="4">
        <v>3.2</v>
      </c>
      <c r="F57" s="4">
        <v>54</v>
      </c>
      <c r="G57" s="4">
        <v>17.7</v>
      </c>
      <c r="H57" s="4">
        <v>190</v>
      </c>
    </row>
    <row r="58" spans="1:8">
      <c r="A58" s="4" t="s">
        <v>692</v>
      </c>
      <c r="B58" s="4">
        <v>188.8</v>
      </c>
      <c r="C58" s="4">
        <v>16.899999999999999</v>
      </c>
      <c r="D58" s="4">
        <v>41.6</v>
      </c>
      <c r="E58" s="4">
        <v>19.399999999999999</v>
      </c>
      <c r="F58" s="4">
        <v>12</v>
      </c>
      <c r="G58" s="4">
        <v>20.9</v>
      </c>
      <c r="H58" s="4">
        <v>190.3</v>
      </c>
    </row>
    <row r="59" spans="1:8">
      <c r="A59" s="4" t="s">
        <v>692</v>
      </c>
      <c r="B59" s="4">
        <v>192</v>
      </c>
      <c r="C59" s="4">
        <v>6.9</v>
      </c>
      <c r="D59" s="4">
        <v>55.1</v>
      </c>
      <c r="E59" s="4">
        <v>8.1999999999999993</v>
      </c>
      <c r="F59" s="4">
        <v>26</v>
      </c>
      <c r="G59" s="4">
        <v>25.7</v>
      </c>
      <c r="H59" s="4">
        <v>186.3</v>
      </c>
    </row>
    <row r="60" spans="1:8">
      <c r="A60" s="4" t="s">
        <v>693</v>
      </c>
      <c r="B60" s="4">
        <v>186.7</v>
      </c>
      <c r="C60" s="4">
        <v>38.299999999999997</v>
      </c>
      <c r="F60" s="4">
        <v>5</v>
      </c>
      <c r="G60" s="4">
        <v>67.5</v>
      </c>
      <c r="H60" s="4">
        <v>163.6</v>
      </c>
    </row>
    <row r="61" spans="1:8">
      <c r="A61" s="4" t="s">
        <v>684</v>
      </c>
      <c r="B61" s="4">
        <v>201.2</v>
      </c>
      <c r="C61" s="4">
        <v>24.4</v>
      </c>
      <c r="F61" s="4">
        <v>5</v>
      </c>
      <c r="G61" s="4">
        <v>15.1</v>
      </c>
      <c r="H61" s="4">
        <v>178.4</v>
      </c>
    </row>
    <row r="62" spans="1:8">
      <c r="A62" s="4" t="s">
        <v>670</v>
      </c>
      <c r="B62" s="4">
        <v>153.5</v>
      </c>
      <c r="C62" s="4">
        <v>7.6</v>
      </c>
      <c r="F62" s="4">
        <v>2</v>
      </c>
      <c r="G62" s="4">
        <v>22.5</v>
      </c>
      <c r="H62" s="4">
        <v>229.8</v>
      </c>
    </row>
    <row r="63" spans="1:8">
      <c r="A63" s="4" t="s">
        <v>687</v>
      </c>
      <c r="B63" s="4">
        <v>184.5</v>
      </c>
      <c r="C63" s="4">
        <v>29.5</v>
      </c>
      <c r="F63" s="4">
        <v>1</v>
      </c>
      <c r="G63" s="4">
        <v>13.9</v>
      </c>
      <c r="H63" s="4">
        <v>196.4</v>
      </c>
    </row>
    <row r="64" spans="1:8">
      <c r="A64" s="4" t="s">
        <v>688</v>
      </c>
      <c r="B64" s="4">
        <v>177</v>
      </c>
      <c r="C64" s="4">
        <v>17.899999999999999</v>
      </c>
      <c r="D64" s="4">
        <v>8.8000000000000007</v>
      </c>
      <c r="E64" s="4">
        <v>19.8</v>
      </c>
      <c r="F64" s="4">
        <v>8</v>
      </c>
      <c r="G64" s="4">
        <v>20.7</v>
      </c>
      <c r="H64" s="4">
        <v>203.3</v>
      </c>
    </row>
    <row r="65" spans="1:8">
      <c r="A65" s="4" t="s">
        <v>689</v>
      </c>
      <c r="B65" s="4">
        <v>209.6</v>
      </c>
      <c r="C65" s="4">
        <v>13.8</v>
      </c>
      <c r="F65" s="4">
        <v>4</v>
      </c>
      <c r="G65" s="4">
        <v>18.899999999999999</v>
      </c>
      <c r="H65" s="4">
        <v>168.8</v>
      </c>
    </row>
    <row r="66" spans="1:8">
      <c r="A66" s="4" t="s">
        <v>691</v>
      </c>
      <c r="B66" s="4">
        <v>199.1</v>
      </c>
      <c r="C66" s="4">
        <v>8.1</v>
      </c>
      <c r="F66" s="4">
        <v>2</v>
      </c>
      <c r="G66" s="4">
        <v>23.9</v>
      </c>
      <c r="H66" s="4">
        <v>180</v>
      </c>
    </row>
    <row r="67" spans="1:8">
      <c r="A67" s="4" t="s">
        <v>692</v>
      </c>
      <c r="B67" s="4">
        <v>176.8</v>
      </c>
      <c r="C67" s="4">
        <v>24.5</v>
      </c>
      <c r="F67" s="4">
        <v>1</v>
      </c>
      <c r="G67" s="4">
        <v>76.8</v>
      </c>
      <c r="H67" s="4">
        <v>193.8</v>
      </c>
    </row>
    <row r="68" spans="1:8">
      <c r="A68" s="4" t="s">
        <v>694</v>
      </c>
      <c r="B68" s="4">
        <v>192</v>
      </c>
      <c r="C68" s="4">
        <v>43</v>
      </c>
      <c r="F68" s="4">
        <v>2</v>
      </c>
      <c r="G68" s="4">
        <v>4.0999999999999996</v>
      </c>
      <c r="H68" s="4">
        <v>189.9</v>
      </c>
    </row>
    <row r="69" spans="1:8">
      <c r="A69" s="4" t="s">
        <v>695</v>
      </c>
      <c r="B69" s="4">
        <v>192.8</v>
      </c>
      <c r="C69" s="4">
        <v>25.4</v>
      </c>
      <c r="D69" s="4">
        <v>29</v>
      </c>
      <c r="E69" s="4">
        <v>17.3</v>
      </c>
      <c r="F69" s="4">
        <v>8</v>
      </c>
      <c r="G69" s="4">
        <v>15.6</v>
      </c>
      <c r="H69" s="4">
        <v>187.7</v>
      </c>
    </row>
    <row r="70" spans="1:8">
      <c r="A70" s="4" t="s">
        <v>696</v>
      </c>
      <c r="B70" s="4">
        <v>188</v>
      </c>
      <c r="C70" s="4">
        <v>24</v>
      </c>
      <c r="F70" s="4">
        <v>2</v>
      </c>
      <c r="G70" s="4">
        <v>16.7</v>
      </c>
      <c r="H70" s="4">
        <v>192.8</v>
      </c>
    </row>
    <row r="71" spans="1:8">
      <c r="A71" s="4" t="s">
        <v>696</v>
      </c>
      <c r="B71" s="4">
        <v>182</v>
      </c>
      <c r="C71" s="4">
        <v>28</v>
      </c>
      <c r="F71" s="4">
        <v>2</v>
      </c>
      <c r="G71" s="4">
        <v>14.7</v>
      </c>
      <c r="H71" s="4">
        <v>199</v>
      </c>
    </row>
    <row r="72" spans="1:8">
      <c r="A72" s="4" t="s">
        <v>697</v>
      </c>
      <c r="B72" s="4">
        <v>195</v>
      </c>
      <c r="C72" s="4">
        <v>15</v>
      </c>
      <c r="E72" s="4">
        <v>2.5</v>
      </c>
      <c r="F72" s="4">
        <v>7</v>
      </c>
      <c r="G72" s="4">
        <v>21</v>
      </c>
      <c r="H72" s="4">
        <v>184.9</v>
      </c>
    </row>
    <row r="73" spans="1:8">
      <c r="A73" s="4" t="s">
        <v>698</v>
      </c>
      <c r="B73" s="4">
        <v>190</v>
      </c>
      <c r="C73" s="4">
        <v>31</v>
      </c>
      <c r="E73" s="4">
        <v>8.8000000000000007</v>
      </c>
      <c r="F73" s="4">
        <v>6</v>
      </c>
      <c r="G73" s="4">
        <v>12.6</v>
      </c>
      <c r="H73" s="4">
        <v>191</v>
      </c>
    </row>
    <row r="74" spans="1:8">
      <c r="A74" s="4" t="s">
        <v>698</v>
      </c>
      <c r="B74" s="4">
        <v>189</v>
      </c>
      <c r="C74" s="4">
        <v>42</v>
      </c>
      <c r="E74" s="4">
        <v>2</v>
      </c>
      <c r="F74" s="4">
        <v>2</v>
      </c>
      <c r="G74" s="4">
        <v>5.2</v>
      </c>
      <c r="H74" s="4">
        <v>192.6</v>
      </c>
    </row>
    <row r="75" spans="1:8">
      <c r="A75" s="4" t="s">
        <v>699</v>
      </c>
      <c r="B75" s="4">
        <v>151</v>
      </c>
      <c r="C75" s="4">
        <v>50</v>
      </c>
      <c r="E75" s="4">
        <v>13.6</v>
      </c>
      <c r="F75" s="4">
        <v>3</v>
      </c>
      <c r="G75" s="4">
        <v>24.1</v>
      </c>
      <c r="H75" s="4">
        <v>225.5</v>
      </c>
    </row>
    <row r="76" spans="1:8">
      <c r="A76" s="4" t="s">
        <v>700</v>
      </c>
      <c r="B76" s="4">
        <v>143</v>
      </c>
      <c r="C76" s="4">
        <v>49</v>
      </c>
      <c r="E76" s="4">
        <v>8.5</v>
      </c>
      <c r="F76" s="4">
        <v>6</v>
      </c>
      <c r="G76" s="4">
        <v>25.2</v>
      </c>
      <c r="H76" s="4">
        <v>232.4</v>
      </c>
    </row>
    <row r="77" spans="1:8">
      <c r="A77" s="4" t="s">
        <v>701</v>
      </c>
      <c r="B77" s="4">
        <v>198.6</v>
      </c>
      <c r="C77" s="4">
        <v>30.2</v>
      </c>
      <c r="D77" s="4">
        <v>60</v>
      </c>
      <c r="E77" s="4">
        <v>7.9</v>
      </c>
      <c r="F77" s="4">
        <v>25</v>
      </c>
      <c r="G77" s="4">
        <v>12.2</v>
      </c>
      <c r="H77" s="4">
        <v>182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F5C951-735B-4711-BBFC-83B7E5D636A5}">
  <dimension ref="A1:J5"/>
  <sheetViews>
    <sheetView workbookViewId="0">
      <selection sqref="A1:A1048576"/>
    </sheetView>
  </sheetViews>
  <sheetFormatPr defaultColWidth="8.81640625" defaultRowHeight="12.5"/>
  <cols>
    <col min="1" max="1" width="24.1796875" style="4" customWidth="1"/>
    <col min="2" max="9" width="8.81640625" style="4"/>
    <col min="10" max="10" width="15.81640625" style="4" customWidth="1"/>
    <col min="11" max="16384" width="8.81640625" style="4"/>
  </cols>
  <sheetData>
    <row r="1" spans="1:10">
      <c r="A1" s="62" t="s">
        <v>0</v>
      </c>
      <c r="B1" s="56" t="s">
        <v>1</v>
      </c>
      <c r="C1" s="56" t="s">
        <v>2</v>
      </c>
      <c r="D1" s="56" t="s">
        <v>3</v>
      </c>
      <c r="E1" s="56" t="s">
        <v>4</v>
      </c>
      <c r="F1" s="56" t="s">
        <v>5</v>
      </c>
      <c r="G1" s="56" t="s">
        <v>6</v>
      </c>
      <c r="H1" s="56" t="s">
        <v>7</v>
      </c>
      <c r="I1" s="4" t="s">
        <v>9</v>
      </c>
      <c r="J1" s="4" t="s">
        <v>8</v>
      </c>
    </row>
    <row r="2" spans="1:10">
      <c r="A2" s="4" t="s">
        <v>716</v>
      </c>
      <c r="B2" s="4">
        <v>53.8</v>
      </c>
      <c r="C2" s="4">
        <v>-9.8000000000000007</v>
      </c>
      <c r="D2" s="4">
        <v>22</v>
      </c>
      <c r="E2" s="4">
        <v>12.1</v>
      </c>
      <c r="F2" s="4">
        <v>8</v>
      </c>
      <c r="G2" s="21">
        <v>10.289911674041264</v>
      </c>
      <c r="H2" s="21">
        <v>141.5</v>
      </c>
    </row>
    <row r="3" spans="1:10">
      <c r="A3" s="4" t="s">
        <v>717</v>
      </c>
      <c r="B3" s="4">
        <v>54.1</v>
      </c>
      <c r="C3" s="4">
        <v>19.600000000000001</v>
      </c>
      <c r="D3" s="4">
        <v>14</v>
      </c>
      <c r="E3" s="4">
        <v>8.3000000000000007</v>
      </c>
      <c r="F3" s="4">
        <v>24</v>
      </c>
      <c r="G3" s="21">
        <v>24.146369503423657</v>
      </c>
      <c r="H3" s="21">
        <v>135.37673246719993</v>
      </c>
    </row>
    <row r="4" spans="1:10">
      <c r="A4" s="4" t="s">
        <v>718</v>
      </c>
      <c r="B4" s="4">
        <v>41.4</v>
      </c>
      <c r="C4" s="4">
        <v>12.3</v>
      </c>
      <c r="D4" s="4">
        <v>154</v>
      </c>
      <c r="E4" s="4">
        <v>10</v>
      </c>
      <c r="F4" s="4">
        <v>3</v>
      </c>
      <c r="G4" s="21">
        <v>25.312319126241547</v>
      </c>
      <c r="H4" s="21">
        <v>150.14461933751357</v>
      </c>
    </row>
    <row r="5" spans="1:10">
      <c r="A5" s="4" t="s">
        <v>719</v>
      </c>
      <c r="B5" s="4">
        <v>31.4</v>
      </c>
      <c r="C5" s="4">
        <v>11.2</v>
      </c>
      <c r="D5" s="4">
        <v>59</v>
      </c>
      <c r="E5" s="4">
        <v>9.6</v>
      </c>
      <c r="F5" s="4">
        <v>6</v>
      </c>
      <c r="G5" s="21">
        <v>27.688650096537025</v>
      </c>
      <c r="H5" s="21">
        <v>160.9</v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B391D6-0E63-43E0-829A-BEE586CA71F2}">
  <dimension ref="A1:J16"/>
  <sheetViews>
    <sheetView workbookViewId="0">
      <selection sqref="A1:A1048576"/>
    </sheetView>
  </sheetViews>
  <sheetFormatPr defaultColWidth="8.81640625" defaultRowHeight="12.5"/>
  <cols>
    <col min="1" max="9" width="8.81640625" style="4"/>
    <col min="10" max="10" width="15.81640625" style="4" customWidth="1"/>
    <col min="11" max="16384" width="8.81640625" style="4"/>
  </cols>
  <sheetData>
    <row r="1" spans="1:10">
      <c r="A1" s="62" t="s">
        <v>0</v>
      </c>
      <c r="B1" s="56" t="s">
        <v>1</v>
      </c>
      <c r="C1" s="56" t="s">
        <v>2</v>
      </c>
      <c r="D1" s="56" t="s">
        <v>3</v>
      </c>
      <c r="E1" s="56" t="s">
        <v>4</v>
      </c>
      <c r="F1" s="56" t="s">
        <v>5</v>
      </c>
      <c r="G1" s="56" t="s">
        <v>6</v>
      </c>
      <c r="H1" s="56" t="s">
        <v>7</v>
      </c>
      <c r="I1" s="4" t="s">
        <v>9</v>
      </c>
      <c r="J1" s="1" t="s">
        <v>8</v>
      </c>
    </row>
    <row r="2" spans="1:10">
      <c r="A2" s="4" t="s">
        <v>731</v>
      </c>
      <c r="B2" s="4">
        <v>12.8</v>
      </c>
      <c r="C2" s="4">
        <v>5.3</v>
      </c>
      <c r="D2" s="59"/>
      <c r="E2" s="4">
        <v>7.1</v>
      </c>
      <c r="F2" s="4">
        <v>7</v>
      </c>
      <c r="G2" s="50">
        <v>30.259569878750355</v>
      </c>
      <c r="H2" s="50">
        <v>186.93409928239612</v>
      </c>
      <c r="J2" s="53" t="s">
        <v>351</v>
      </c>
    </row>
    <row r="3" spans="1:10">
      <c r="A3" s="4" t="s">
        <v>732</v>
      </c>
      <c r="B3" s="4">
        <v>349.7</v>
      </c>
      <c r="C3" s="4">
        <v>8.4</v>
      </c>
      <c r="D3" s="59"/>
      <c r="E3" s="4">
        <v>35.5</v>
      </c>
      <c r="F3" s="4">
        <v>4</v>
      </c>
      <c r="G3" s="50">
        <v>32.143292171982999</v>
      </c>
      <c r="H3" s="50">
        <v>213.9773480293228</v>
      </c>
      <c r="J3" s="53" t="s">
        <v>351</v>
      </c>
    </row>
    <row r="4" spans="1:10">
      <c r="A4" s="4" t="s">
        <v>733</v>
      </c>
      <c r="B4" s="4">
        <v>351.5</v>
      </c>
      <c r="C4" s="4">
        <v>21.8</v>
      </c>
      <c r="D4" s="59"/>
      <c r="E4" s="4">
        <v>4.9000000000000004</v>
      </c>
      <c r="F4" s="4">
        <v>16</v>
      </c>
      <c r="G4" s="50">
        <v>39.191125319195912</v>
      </c>
      <c r="H4" s="50">
        <v>212.39825022075783</v>
      </c>
      <c r="J4" s="53" t="s">
        <v>351</v>
      </c>
    </row>
    <row r="5" spans="1:10">
      <c r="A5" s="4" t="s">
        <v>734</v>
      </c>
      <c r="B5" s="4">
        <v>159.4</v>
      </c>
      <c r="C5" s="4">
        <v>-6.2</v>
      </c>
      <c r="D5" s="59"/>
      <c r="E5" s="4">
        <v>33.700000000000003</v>
      </c>
      <c r="F5" s="4">
        <v>3</v>
      </c>
      <c r="G5" s="50">
        <v>29.416503328006527</v>
      </c>
      <c r="H5" s="50">
        <v>225.32609734879659</v>
      </c>
      <c r="J5" s="53" t="s">
        <v>351</v>
      </c>
    </row>
    <row r="6" spans="1:10">
      <c r="A6" s="4" t="s">
        <v>720</v>
      </c>
      <c r="B6" s="4">
        <v>15.4</v>
      </c>
      <c r="C6" s="4">
        <v>-35.700000000000003</v>
      </c>
      <c r="D6" s="4">
        <v>69.400000000000006</v>
      </c>
      <c r="E6" s="4">
        <v>14.9</v>
      </c>
      <c r="F6" s="4">
        <v>3</v>
      </c>
      <c r="G6" s="21">
        <v>7.4</v>
      </c>
      <c r="H6" s="21">
        <v>189.9</v>
      </c>
      <c r="J6" s="53" t="s">
        <v>351</v>
      </c>
    </row>
    <row r="7" spans="1:10">
      <c r="A7" s="4" t="s">
        <v>721</v>
      </c>
      <c r="B7" s="4">
        <v>31.8</v>
      </c>
      <c r="C7" s="4">
        <v>-2.7</v>
      </c>
      <c r="F7" s="4">
        <v>2</v>
      </c>
      <c r="G7" s="21">
        <v>22.8</v>
      </c>
      <c r="H7" s="21">
        <v>170.5</v>
      </c>
      <c r="J7" s="53" t="s">
        <v>351</v>
      </c>
    </row>
    <row r="8" spans="1:10">
      <c r="A8" s="4" t="s">
        <v>722</v>
      </c>
      <c r="B8" s="4">
        <v>342.7</v>
      </c>
      <c r="C8" s="4">
        <v>-7.9</v>
      </c>
      <c r="D8" s="4">
        <v>22.7</v>
      </c>
      <c r="E8" s="4">
        <v>14.4</v>
      </c>
      <c r="F8" s="4">
        <v>6</v>
      </c>
      <c r="G8" s="21">
        <v>24.2</v>
      </c>
      <c r="H8" s="21">
        <v>219.9</v>
      </c>
      <c r="J8" s="53" t="s">
        <v>351</v>
      </c>
    </row>
    <row r="9" spans="1:10">
      <c r="A9" s="4" t="s">
        <v>723</v>
      </c>
      <c r="B9" s="4">
        <v>28.8</v>
      </c>
      <c r="C9" s="4">
        <v>-2.4</v>
      </c>
      <c r="F9" s="4">
        <v>2</v>
      </c>
      <c r="G9" s="21">
        <v>24.5</v>
      </c>
      <c r="H9" s="21">
        <v>169</v>
      </c>
      <c r="J9" s="53" t="s">
        <v>351</v>
      </c>
    </row>
    <row r="10" spans="1:10">
      <c r="A10" s="4" t="s">
        <v>724</v>
      </c>
      <c r="B10" s="4">
        <v>18.7</v>
      </c>
      <c r="C10" s="4">
        <v>4.0999999999999996</v>
      </c>
      <c r="D10" s="4">
        <v>34.700000000000003</v>
      </c>
      <c r="E10" s="4">
        <v>10.4</v>
      </c>
      <c r="F10" s="4">
        <v>7</v>
      </c>
      <c r="G10" s="21">
        <v>29.9</v>
      </c>
      <c r="H10" s="21">
        <v>179.3</v>
      </c>
      <c r="J10" s="53" t="s">
        <v>351</v>
      </c>
    </row>
    <row r="11" spans="1:10">
      <c r="A11" s="4" t="s">
        <v>725</v>
      </c>
      <c r="B11" s="4">
        <v>148.9</v>
      </c>
      <c r="C11" s="4">
        <v>-3.7</v>
      </c>
      <c r="D11" s="4">
        <v>8.5</v>
      </c>
      <c r="E11" s="4">
        <v>27.9</v>
      </c>
      <c r="F11" s="4">
        <v>5</v>
      </c>
      <c r="G11" s="21">
        <v>26.2</v>
      </c>
      <c r="H11" s="21">
        <v>240.8</v>
      </c>
      <c r="J11" s="53" t="s">
        <v>351</v>
      </c>
    </row>
    <row r="12" spans="1:10">
      <c r="A12" s="4" t="s">
        <v>726</v>
      </c>
      <c r="B12" s="4">
        <v>151.4</v>
      </c>
      <c r="C12" s="4">
        <v>-0.4</v>
      </c>
      <c r="F12" s="4">
        <v>2</v>
      </c>
      <c r="G12" s="21">
        <v>25</v>
      </c>
      <c r="H12" s="21">
        <v>237.1</v>
      </c>
      <c r="J12" s="53" t="s">
        <v>351</v>
      </c>
    </row>
    <row r="13" spans="1:10">
      <c r="A13" s="4" t="s">
        <v>727</v>
      </c>
      <c r="B13" s="4">
        <v>148.69999999999999</v>
      </c>
      <c r="C13" s="4">
        <v>11.7</v>
      </c>
      <c r="D13" s="4">
        <v>7.6</v>
      </c>
      <c r="E13" s="4">
        <v>29.6</v>
      </c>
      <c r="F13" s="4">
        <v>5</v>
      </c>
      <c r="G13" s="21">
        <v>17.8</v>
      </c>
      <c r="H13" s="21">
        <v>238.5</v>
      </c>
      <c r="J13" s="53" t="s">
        <v>351</v>
      </c>
    </row>
    <row r="14" spans="1:10">
      <c r="A14" s="4" t="s">
        <v>728</v>
      </c>
      <c r="B14" s="4">
        <v>169.2</v>
      </c>
      <c r="C14" s="4">
        <v>22.9</v>
      </c>
      <c r="D14" s="4">
        <v>22.5</v>
      </c>
      <c r="E14" s="4">
        <v>19.8</v>
      </c>
      <c r="F14" s="4">
        <v>4</v>
      </c>
      <c r="G14" s="21">
        <v>15.5</v>
      </c>
      <c r="H14" s="21">
        <v>216.3</v>
      </c>
      <c r="J14" s="53" t="s">
        <v>351</v>
      </c>
    </row>
    <row r="15" spans="1:10">
      <c r="A15" s="4" t="s">
        <v>729</v>
      </c>
      <c r="B15" s="4">
        <v>167.8</v>
      </c>
      <c r="C15" s="4">
        <v>30.4</v>
      </c>
      <c r="D15" s="4">
        <v>34.4</v>
      </c>
      <c r="E15" s="4">
        <v>13.2</v>
      </c>
      <c r="F15" s="4">
        <v>5</v>
      </c>
      <c r="G15" s="21">
        <v>11.5</v>
      </c>
      <c r="H15" s="21">
        <v>216.7</v>
      </c>
      <c r="J15" s="53" t="s">
        <v>351</v>
      </c>
    </row>
    <row r="16" spans="1:10">
      <c r="A16" s="4" t="s">
        <v>730</v>
      </c>
      <c r="B16" s="4">
        <v>171.6</v>
      </c>
      <c r="C16" s="4">
        <v>-12.6</v>
      </c>
      <c r="D16" s="4">
        <v>6.8</v>
      </c>
      <c r="E16" s="4">
        <v>38.200000000000003</v>
      </c>
      <c r="F16" s="4">
        <v>4</v>
      </c>
      <c r="G16" s="21">
        <v>34.799999999999997</v>
      </c>
      <c r="H16" s="21">
        <v>215.9</v>
      </c>
      <c r="J16" s="53" t="s">
        <v>351</v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525F2E-21D8-4C59-80D8-A73513A3D7B8}">
  <dimension ref="A1:L12"/>
  <sheetViews>
    <sheetView workbookViewId="0">
      <selection sqref="A1:A1048576"/>
    </sheetView>
  </sheetViews>
  <sheetFormatPr defaultColWidth="8.81640625" defaultRowHeight="12.5"/>
  <cols>
    <col min="1" max="9" width="8.81640625" style="4"/>
    <col min="10" max="10" width="15.81640625" style="4" customWidth="1"/>
    <col min="11" max="16384" width="8.81640625" style="4"/>
  </cols>
  <sheetData>
    <row r="1" spans="1:12">
      <c r="A1" s="62" t="s">
        <v>0</v>
      </c>
      <c r="B1" s="56" t="s">
        <v>1</v>
      </c>
      <c r="C1" s="56" t="s">
        <v>2</v>
      </c>
      <c r="D1" s="56" t="s">
        <v>3</v>
      </c>
      <c r="E1" s="56" t="s">
        <v>4</v>
      </c>
      <c r="F1" s="56" t="s">
        <v>5</v>
      </c>
      <c r="G1" s="56" t="s">
        <v>6</v>
      </c>
      <c r="H1" s="56" t="s">
        <v>7</v>
      </c>
      <c r="I1" s="4" t="s">
        <v>9</v>
      </c>
      <c r="J1" s="1" t="s">
        <v>8</v>
      </c>
    </row>
    <row r="2" spans="1:12" ht="13.5">
      <c r="A2" s="4" t="s">
        <v>720</v>
      </c>
      <c r="B2" s="4">
        <v>15.4</v>
      </c>
      <c r="C2" s="4">
        <v>-35.700000000000003</v>
      </c>
      <c r="D2" s="4">
        <v>69.400000000000006</v>
      </c>
      <c r="E2" s="4">
        <v>14.9</v>
      </c>
      <c r="F2" s="4">
        <v>3</v>
      </c>
      <c r="G2" s="4">
        <v>7.4</v>
      </c>
      <c r="H2" s="4">
        <v>189.9</v>
      </c>
      <c r="I2" s="25"/>
      <c r="J2" s="25"/>
      <c r="K2" s="25"/>
      <c r="L2" s="25"/>
    </row>
    <row r="3" spans="1:12" ht="13.5">
      <c r="A3" s="4" t="s">
        <v>721</v>
      </c>
      <c r="B3" s="4">
        <v>31.8</v>
      </c>
      <c r="C3" s="4">
        <v>-2.7</v>
      </c>
      <c r="F3" s="4">
        <v>2</v>
      </c>
      <c r="G3" s="4">
        <v>22.8</v>
      </c>
      <c r="H3" s="4">
        <v>170.5</v>
      </c>
      <c r="I3" s="25"/>
      <c r="J3" s="25"/>
    </row>
    <row r="4" spans="1:12" ht="13.5">
      <c r="A4" s="4" t="s">
        <v>722</v>
      </c>
      <c r="B4" s="4">
        <v>342.7</v>
      </c>
      <c r="C4" s="4">
        <v>-7.9</v>
      </c>
      <c r="D4" s="4">
        <v>22.7</v>
      </c>
      <c r="E4" s="4">
        <v>14.4</v>
      </c>
      <c r="F4" s="4">
        <v>6</v>
      </c>
      <c r="G4" s="4">
        <v>24.2</v>
      </c>
      <c r="H4" s="4">
        <v>219.9</v>
      </c>
      <c r="I4" s="25"/>
      <c r="J4" s="25"/>
    </row>
    <row r="5" spans="1:12" ht="13.5">
      <c r="A5" s="4" t="s">
        <v>723</v>
      </c>
      <c r="B5" s="4">
        <v>28.8</v>
      </c>
      <c r="C5" s="4">
        <v>-2.4</v>
      </c>
      <c r="F5" s="4">
        <v>2</v>
      </c>
      <c r="G5" s="4">
        <v>24.5</v>
      </c>
      <c r="H5" s="4">
        <v>169</v>
      </c>
      <c r="I5" s="25"/>
      <c r="J5" s="25"/>
    </row>
    <row r="6" spans="1:12" ht="13.5">
      <c r="A6" s="4" t="s">
        <v>724</v>
      </c>
      <c r="B6" s="4">
        <v>18.7</v>
      </c>
      <c r="C6" s="4">
        <v>4.0999999999999996</v>
      </c>
      <c r="D6" s="4">
        <v>34.700000000000003</v>
      </c>
      <c r="E6" s="4">
        <v>10.4</v>
      </c>
      <c r="F6" s="4">
        <v>7</v>
      </c>
      <c r="G6" s="4">
        <v>29.9</v>
      </c>
      <c r="H6" s="4">
        <v>179.3</v>
      </c>
      <c r="I6" s="25"/>
      <c r="J6" s="25"/>
    </row>
    <row r="7" spans="1:12" ht="13.5">
      <c r="A7" s="4" t="s">
        <v>725</v>
      </c>
      <c r="B7" s="4">
        <v>148.9</v>
      </c>
      <c r="C7" s="4">
        <v>-3.7</v>
      </c>
      <c r="D7" s="4">
        <v>8.5</v>
      </c>
      <c r="E7" s="4">
        <v>27.9</v>
      </c>
      <c r="F7" s="4">
        <v>5</v>
      </c>
      <c r="G7" s="4">
        <v>26.2</v>
      </c>
      <c r="H7" s="4">
        <v>240.8</v>
      </c>
      <c r="I7" s="25"/>
      <c r="J7" s="25"/>
    </row>
    <row r="8" spans="1:12" ht="13.5">
      <c r="A8" s="4" t="s">
        <v>726</v>
      </c>
      <c r="B8" s="4">
        <v>151.4</v>
      </c>
      <c r="C8" s="4">
        <v>-0.4</v>
      </c>
      <c r="F8" s="4">
        <v>2</v>
      </c>
      <c r="G8" s="4">
        <v>25</v>
      </c>
      <c r="H8" s="4">
        <v>237.1</v>
      </c>
      <c r="J8" s="25"/>
    </row>
    <row r="9" spans="1:12" ht="13.5">
      <c r="A9" s="4" t="s">
        <v>727</v>
      </c>
      <c r="B9" s="4">
        <v>148.69999999999999</v>
      </c>
      <c r="C9" s="4">
        <v>11.7</v>
      </c>
      <c r="D9" s="4">
        <v>7.6</v>
      </c>
      <c r="E9" s="4">
        <v>29.6</v>
      </c>
      <c r="F9" s="4">
        <v>5</v>
      </c>
      <c r="G9" s="4">
        <v>17.8</v>
      </c>
      <c r="H9" s="4">
        <v>238.5</v>
      </c>
      <c r="J9" s="25"/>
    </row>
    <row r="10" spans="1:12" ht="13.5">
      <c r="A10" s="4" t="s">
        <v>728</v>
      </c>
      <c r="B10" s="4">
        <v>169.2</v>
      </c>
      <c r="C10" s="4">
        <v>22.9</v>
      </c>
      <c r="D10" s="4">
        <v>22.5</v>
      </c>
      <c r="E10" s="4">
        <v>19.8</v>
      </c>
      <c r="F10" s="4">
        <v>4</v>
      </c>
      <c r="G10" s="4">
        <v>15.5</v>
      </c>
      <c r="H10" s="4">
        <v>216.3</v>
      </c>
      <c r="J10" s="25"/>
    </row>
    <row r="11" spans="1:12" ht="13.5">
      <c r="A11" s="4" t="s">
        <v>729</v>
      </c>
      <c r="B11" s="4">
        <v>167.8</v>
      </c>
      <c r="C11" s="4">
        <v>30.4</v>
      </c>
      <c r="D11" s="4">
        <v>34.4</v>
      </c>
      <c r="E11" s="4">
        <v>13.2</v>
      </c>
      <c r="F11" s="4">
        <v>5</v>
      </c>
      <c r="G11" s="4">
        <v>11.5</v>
      </c>
      <c r="H11" s="4">
        <v>216.7</v>
      </c>
      <c r="J11" s="25"/>
    </row>
    <row r="12" spans="1:12" ht="13.5">
      <c r="A12" s="4" t="s">
        <v>730</v>
      </c>
      <c r="B12" s="4">
        <v>171.6</v>
      </c>
      <c r="C12" s="4">
        <v>-12.6</v>
      </c>
      <c r="D12" s="4">
        <v>6.8</v>
      </c>
      <c r="E12" s="4">
        <v>38.200000000000003</v>
      </c>
      <c r="F12" s="4">
        <v>4</v>
      </c>
      <c r="G12" s="4">
        <v>34.799999999999997</v>
      </c>
      <c r="H12" s="4">
        <v>215.9</v>
      </c>
      <c r="J12" s="25"/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B2B8C1-A9A3-4180-8E87-86865671BDAE}">
  <dimension ref="A1:J7"/>
  <sheetViews>
    <sheetView workbookViewId="0">
      <selection sqref="A1:A1048576"/>
    </sheetView>
  </sheetViews>
  <sheetFormatPr defaultColWidth="8.81640625" defaultRowHeight="12.5"/>
  <cols>
    <col min="1" max="9" width="8.81640625" style="4"/>
    <col min="10" max="10" width="15.81640625" style="4" customWidth="1"/>
    <col min="11" max="16384" width="8.81640625" style="4"/>
  </cols>
  <sheetData>
    <row r="1" spans="1:10">
      <c r="A1" s="62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1" t="s">
        <v>7</v>
      </c>
      <c r="I1" s="4" t="s">
        <v>9</v>
      </c>
      <c r="J1" s="1" t="s">
        <v>8</v>
      </c>
    </row>
    <row r="2" spans="1:10">
      <c r="A2" s="4">
        <v>1</v>
      </c>
      <c r="B2" s="4">
        <v>350.3</v>
      </c>
      <c r="C2" s="4">
        <v>37.6</v>
      </c>
      <c r="D2" s="4">
        <v>45.6</v>
      </c>
      <c r="E2" s="4">
        <v>5.3</v>
      </c>
      <c r="F2" s="4">
        <v>17</v>
      </c>
      <c r="G2" s="21">
        <v>48.1</v>
      </c>
      <c r="H2" s="21">
        <v>208.4</v>
      </c>
    </row>
    <row r="3" spans="1:10">
      <c r="A3" s="4">
        <v>2</v>
      </c>
      <c r="B3" s="4">
        <v>336</v>
      </c>
      <c r="C3" s="4">
        <v>46.7</v>
      </c>
      <c r="D3" s="4">
        <v>270.8</v>
      </c>
      <c r="E3" s="4">
        <v>3.7</v>
      </c>
      <c r="F3" s="4">
        <v>7</v>
      </c>
      <c r="G3" s="21">
        <v>52.1</v>
      </c>
      <c r="H3" s="21">
        <v>230.6</v>
      </c>
    </row>
    <row r="4" spans="1:10">
      <c r="A4" s="4">
        <v>3</v>
      </c>
      <c r="B4" s="4">
        <v>341.8</v>
      </c>
      <c r="C4" s="4">
        <v>39.4</v>
      </c>
      <c r="D4" s="4">
        <v>35.799999999999997</v>
      </c>
      <c r="E4" s="4">
        <v>7</v>
      </c>
      <c r="F4" s="4">
        <v>13</v>
      </c>
      <c r="G4" s="21">
        <v>48</v>
      </c>
      <c r="H4" s="21">
        <v>220.4</v>
      </c>
    </row>
    <row r="5" spans="1:10">
      <c r="A5" s="4">
        <v>4</v>
      </c>
      <c r="B5" s="4">
        <v>338.8</v>
      </c>
      <c r="C5" s="4">
        <v>45.3</v>
      </c>
      <c r="D5" s="4">
        <v>73.5</v>
      </c>
      <c r="E5" s="4">
        <v>7.9</v>
      </c>
      <c r="F5" s="4">
        <v>6</v>
      </c>
      <c r="G5" s="21">
        <v>51.7</v>
      </c>
      <c r="H5" s="21">
        <v>226.2</v>
      </c>
    </row>
    <row r="6" spans="1:10">
      <c r="A6" s="4">
        <v>5</v>
      </c>
      <c r="B6" s="4">
        <v>346.1</v>
      </c>
      <c r="C6" s="4">
        <v>46.7</v>
      </c>
      <c r="D6" s="4">
        <v>92</v>
      </c>
      <c r="E6" s="4">
        <v>7</v>
      </c>
      <c r="F6" s="4">
        <v>6</v>
      </c>
      <c r="G6" s="21">
        <v>54.3</v>
      </c>
      <c r="H6" s="21">
        <v>216.2</v>
      </c>
    </row>
    <row r="7" spans="1:10">
      <c r="A7" s="4">
        <v>6</v>
      </c>
      <c r="B7" s="4">
        <v>342.9</v>
      </c>
      <c r="C7" s="4">
        <v>48.2</v>
      </c>
      <c r="D7" s="4">
        <v>176.5</v>
      </c>
      <c r="E7" s="4">
        <v>4.5999999999999996</v>
      </c>
      <c r="F7" s="4">
        <v>7</v>
      </c>
      <c r="G7" s="21">
        <v>54.9</v>
      </c>
      <c r="H7" s="21">
        <v>221.4</v>
      </c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806B1B-36C3-4667-B743-E548AE91A366}">
  <dimension ref="A1:M17"/>
  <sheetViews>
    <sheetView workbookViewId="0">
      <selection sqref="A1:A1048576"/>
    </sheetView>
  </sheetViews>
  <sheetFormatPr defaultColWidth="8.81640625" defaultRowHeight="12.5"/>
  <cols>
    <col min="1" max="1" width="18.453125" style="4" customWidth="1"/>
    <col min="2" max="9" width="8.81640625" style="4"/>
    <col min="10" max="10" width="15.81640625" style="4" customWidth="1"/>
    <col min="11" max="16384" width="8.81640625" style="4"/>
  </cols>
  <sheetData>
    <row r="1" spans="1:13">
      <c r="A1" s="62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1" t="s">
        <v>7</v>
      </c>
      <c r="I1" s="4" t="s">
        <v>9</v>
      </c>
      <c r="J1" s="1" t="s">
        <v>8</v>
      </c>
    </row>
    <row r="2" spans="1:13" ht="13.5">
      <c r="A2" s="4" t="s">
        <v>753</v>
      </c>
      <c r="B2" s="4">
        <v>349</v>
      </c>
      <c r="C2" s="4">
        <v>23.7</v>
      </c>
      <c r="D2" s="4">
        <v>30</v>
      </c>
      <c r="E2" s="4">
        <v>10.4</v>
      </c>
      <c r="F2" s="4">
        <v>6</v>
      </c>
      <c r="G2" s="21">
        <v>40.520000000000003</v>
      </c>
      <c r="H2" s="21">
        <v>229.79</v>
      </c>
      <c r="I2" s="19"/>
      <c r="J2" s="19"/>
      <c r="K2" s="19"/>
      <c r="L2" s="19"/>
      <c r="M2" s="19"/>
    </row>
    <row r="3" spans="1:13" ht="13.5">
      <c r="A3" s="4" t="s">
        <v>754</v>
      </c>
      <c r="B3" s="4">
        <v>5.7</v>
      </c>
      <c r="C3" s="4">
        <v>14.9</v>
      </c>
      <c r="D3" s="4">
        <v>52.5</v>
      </c>
      <c r="E3" s="4">
        <v>7.9</v>
      </c>
      <c r="F3" s="4">
        <v>6</v>
      </c>
      <c r="G3" s="21">
        <v>36.21</v>
      </c>
      <c r="H3" s="21">
        <v>208.59</v>
      </c>
      <c r="I3" s="19"/>
      <c r="J3" s="19"/>
      <c r="K3" s="19"/>
    </row>
    <row r="4" spans="1:13" ht="13.5">
      <c r="A4" s="4" t="s">
        <v>755</v>
      </c>
      <c r="B4" s="4">
        <v>357.1</v>
      </c>
      <c r="C4" s="4">
        <v>23.4</v>
      </c>
      <c r="D4" s="4">
        <v>35.6</v>
      </c>
      <c r="E4" s="4">
        <v>7.1</v>
      </c>
      <c r="F4" s="4">
        <v>11</v>
      </c>
      <c r="G4" s="21">
        <v>40.700000000000003</v>
      </c>
      <c r="H4" s="21">
        <v>218.2</v>
      </c>
      <c r="I4" s="19"/>
      <c r="J4" s="19"/>
      <c r="K4" s="19"/>
    </row>
    <row r="5" spans="1:13" ht="13.5">
      <c r="A5" s="4" t="s">
        <v>756</v>
      </c>
      <c r="B5" s="4">
        <v>2.7</v>
      </c>
      <c r="C5" s="4">
        <v>18.100000000000001</v>
      </c>
      <c r="D5" s="4">
        <v>51.3</v>
      </c>
      <c r="E5" s="4">
        <v>7.4</v>
      </c>
      <c r="F5" s="4">
        <v>7</v>
      </c>
      <c r="G5" s="21">
        <v>37.799999999999997</v>
      </c>
      <c r="H5" s="21">
        <v>210.6</v>
      </c>
      <c r="I5" s="19"/>
    </row>
    <row r="6" spans="1:13" ht="13.5">
      <c r="I6" s="19"/>
    </row>
    <row r="7" spans="1:13" ht="13.5">
      <c r="I7" s="19"/>
    </row>
    <row r="16" spans="1:13">
      <c r="A16" s="23"/>
    </row>
    <row r="17" spans="1:1">
      <c r="A17" s="23"/>
    </row>
  </sheetData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608127-0448-4964-B0A7-BA5FCC801E43}">
  <dimension ref="A1:L37"/>
  <sheetViews>
    <sheetView workbookViewId="0">
      <selection sqref="A1:A1048576"/>
    </sheetView>
  </sheetViews>
  <sheetFormatPr defaultColWidth="8.81640625" defaultRowHeight="12.5"/>
  <cols>
    <col min="1" max="9" width="8.81640625" style="4"/>
    <col min="10" max="10" width="15.81640625" style="4" customWidth="1"/>
    <col min="11" max="16384" width="8.81640625" style="4"/>
  </cols>
  <sheetData>
    <row r="1" spans="1:12">
      <c r="A1" s="62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1" t="s">
        <v>7</v>
      </c>
      <c r="I1" s="4" t="s">
        <v>9</v>
      </c>
      <c r="J1" s="1" t="s">
        <v>8</v>
      </c>
    </row>
    <row r="2" spans="1:12" ht="13.5">
      <c r="B2" s="21">
        <v>366.79534404007597</v>
      </c>
      <c r="C2" s="21">
        <v>10.593361527617599</v>
      </c>
      <c r="G2" s="21">
        <v>33.810401582879102</v>
      </c>
      <c r="H2" s="21">
        <v>205.64867685156844</v>
      </c>
      <c r="I2" s="19"/>
      <c r="J2" s="19"/>
      <c r="K2" s="19"/>
      <c r="L2" s="19"/>
    </row>
    <row r="3" spans="1:12" ht="13.5">
      <c r="B3" s="21">
        <v>351.85207013407899</v>
      </c>
      <c r="C3" s="21">
        <v>48.235294117647001</v>
      </c>
      <c r="G3" s="21">
        <v>57.491282588154689</v>
      </c>
      <c r="H3" s="21">
        <v>227.10319292850693</v>
      </c>
      <c r="I3" s="19"/>
      <c r="J3" s="19"/>
    </row>
    <row r="4" spans="1:12" ht="13.5">
      <c r="B4" s="21">
        <v>335.556210402239</v>
      </c>
      <c r="C4" s="21">
        <v>15.2889914135589</v>
      </c>
      <c r="G4" s="21">
        <v>33.500046908536063</v>
      </c>
      <c r="H4" s="21">
        <v>243.24977116769691</v>
      </c>
      <c r="I4" s="19"/>
      <c r="J4" s="19"/>
    </row>
    <row r="5" spans="1:12" ht="13.5">
      <c r="B5" s="21">
        <v>180.80742596139601</v>
      </c>
      <c r="C5" s="21">
        <v>-2.1709598872228399</v>
      </c>
      <c r="G5" s="21">
        <v>29.782722367437607</v>
      </c>
      <c r="H5" s="21">
        <v>212.86985195234698</v>
      </c>
      <c r="I5" s="19"/>
      <c r="J5" s="19"/>
    </row>
    <row r="6" spans="1:12" ht="13.5">
      <c r="B6" s="21">
        <v>144.13142772948299</v>
      </c>
      <c r="C6" s="21">
        <v>-32.774573881840297</v>
      </c>
      <c r="G6" s="21">
        <v>39.733443586772943</v>
      </c>
      <c r="H6" s="21">
        <v>260.2901549801428</v>
      </c>
      <c r="I6" s="19"/>
      <c r="J6" s="19"/>
    </row>
    <row r="7" spans="1:12" ht="13.5">
      <c r="B7" s="21">
        <v>152.40017680860399</v>
      </c>
      <c r="C7" s="21">
        <v>-18.062283737024199</v>
      </c>
      <c r="G7" s="21">
        <v>34.138339914009705</v>
      </c>
      <c r="H7" s="21">
        <v>247.33522839300178</v>
      </c>
      <c r="I7" s="19"/>
      <c r="J7" s="19"/>
    </row>
    <row r="8" spans="1:12" ht="13.5">
      <c r="B8" s="21">
        <v>174.14174156475599</v>
      </c>
      <c r="C8" s="21">
        <v>-32.195309496347498</v>
      </c>
      <c r="G8" s="21">
        <v>45.976919688856263</v>
      </c>
      <c r="H8" s="21">
        <v>221.85323744569524</v>
      </c>
      <c r="J8" s="19"/>
    </row>
    <row r="9" spans="1:12" ht="13.5">
      <c r="B9" s="21">
        <v>187.73242964490899</v>
      </c>
      <c r="C9" s="21">
        <v>-8.6710239651416003</v>
      </c>
      <c r="G9" s="21">
        <v>32.763325546617502</v>
      </c>
      <c r="H9" s="21">
        <v>204.61991866185969</v>
      </c>
      <c r="J9" s="19"/>
    </row>
    <row r="10" spans="1:12" ht="13.5">
      <c r="B10" s="21">
        <v>159.21909532930599</v>
      </c>
      <c r="C10" s="21">
        <v>6.9896193771626196</v>
      </c>
      <c r="G10" s="21">
        <v>-23.233063795924323</v>
      </c>
      <c r="H10" s="21">
        <v>56.467464173174918</v>
      </c>
      <c r="J10" s="19"/>
    </row>
    <row r="11" spans="1:12" ht="13.5">
      <c r="B11" s="21">
        <v>175.54147635184901</v>
      </c>
      <c r="C11" s="21">
        <v>-11.8544149686018</v>
      </c>
      <c r="G11" s="21">
        <v>34.59067223220228</v>
      </c>
      <c r="H11" s="21">
        <v>219.18882232055958</v>
      </c>
      <c r="J11" s="19"/>
    </row>
    <row r="12" spans="1:12" ht="13.5">
      <c r="B12" s="21">
        <v>168.76381317224099</v>
      </c>
      <c r="C12" s="21">
        <v>-28.355760604895501</v>
      </c>
      <c r="G12" s="21">
        <v>43.100187202449121</v>
      </c>
      <c r="H12" s="21">
        <v>228.73058077015605</v>
      </c>
      <c r="J12" s="19"/>
    </row>
    <row r="13" spans="1:12" ht="13.5">
      <c r="B13" s="21">
        <v>191.860910564314</v>
      </c>
      <c r="C13" s="21">
        <v>-10.3421760861207</v>
      </c>
      <c r="G13" s="21">
        <v>33.211476870915206</v>
      </c>
      <c r="H13" s="21">
        <v>199.63894179303682</v>
      </c>
      <c r="J13" s="19"/>
    </row>
    <row r="14" spans="1:12" ht="13.5">
      <c r="B14" s="21">
        <v>151.106527184323</v>
      </c>
      <c r="C14" s="21">
        <v>-41.724977572728399</v>
      </c>
      <c r="G14" s="21">
        <v>47.833986309930367</v>
      </c>
      <c r="H14" s="21">
        <v>254.9022360178592</v>
      </c>
      <c r="J14" s="19"/>
    </row>
    <row r="15" spans="1:12" ht="13.5">
      <c r="B15" s="21">
        <v>190.581994990422</v>
      </c>
      <c r="C15" s="21">
        <v>-12.725874663590901</v>
      </c>
      <c r="G15" s="21">
        <v>34.575717292901885</v>
      </c>
      <c r="H15" s="21">
        <v>200.99537148103721</v>
      </c>
      <c r="J15" s="19"/>
    </row>
    <row r="16" spans="1:12" ht="13.5">
      <c r="B16" s="21">
        <v>181.07558567850299</v>
      </c>
      <c r="C16" s="21">
        <v>-15.1864667435601</v>
      </c>
      <c r="G16" s="21">
        <v>36.422998305832557</v>
      </c>
      <c r="H16" s="21">
        <v>212.47540005480528</v>
      </c>
      <c r="J16" s="19"/>
    </row>
    <row r="17" spans="2:10" ht="13.5">
      <c r="B17" s="21">
        <v>204.17562988065399</v>
      </c>
      <c r="C17" s="21">
        <v>-32.446494937844399</v>
      </c>
      <c r="G17" s="21">
        <v>43.097535816020311</v>
      </c>
      <c r="H17" s="21">
        <v>181.48969642244981</v>
      </c>
      <c r="J17" s="19"/>
    </row>
    <row r="18" spans="2:10" ht="13.5">
      <c r="B18" s="21">
        <v>152.63002799469501</v>
      </c>
      <c r="C18" s="21">
        <v>-30.124311162373498</v>
      </c>
      <c r="G18" s="21">
        <v>40.842275005225225</v>
      </c>
      <c r="H18" s="21">
        <v>249.5066602325841</v>
      </c>
      <c r="J18" s="19"/>
    </row>
    <row r="19" spans="2:10" ht="13.5">
      <c r="B19" s="21">
        <v>168.93472815677001</v>
      </c>
      <c r="C19" s="21">
        <v>-22.378572343970198</v>
      </c>
      <c r="G19" s="21">
        <v>39.678669319966296</v>
      </c>
      <c r="H19" s="21">
        <v>227.93759814078948</v>
      </c>
      <c r="J19" s="19"/>
    </row>
    <row r="20" spans="2:10" ht="13.5">
      <c r="B20" s="21">
        <v>381.00780904670597</v>
      </c>
      <c r="C20" s="21">
        <v>18.118672305523599</v>
      </c>
      <c r="G20" s="21">
        <v>35.735545694573283</v>
      </c>
      <c r="H20" s="21">
        <v>187.96038930415574</v>
      </c>
      <c r="J20" s="19"/>
    </row>
    <row r="21" spans="2:10" ht="13.5">
      <c r="B21" s="21">
        <v>349.768675408869</v>
      </c>
      <c r="C21" s="21">
        <v>28.309624503396002</v>
      </c>
      <c r="G21" s="21">
        <v>43.191572807068141</v>
      </c>
      <c r="H21" s="21">
        <v>227.40615872509471</v>
      </c>
      <c r="J21" s="19"/>
    </row>
    <row r="22" spans="2:10" ht="13.5">
      <c r="B22" s="21">
        <v>311.74303816118999</v>
      </c>
      <c r="C22" s="21">
        <v>14.181724977572699</v>
      </c>
      <c r="G22" s="21">
        <v>25.287433432609816</v>
      </c>
      <c r="H22" s="21">
        <v>268.75528625480314</v>
      </c>
      <c r="J22" s="19"/>
    </row>
    <row r="23" spans="2:10" ht="13.5">
      <c r="B23" s="21">
        <v>376.95594518933098</v>
      </c>
      <c r="C23" s="21">
        <v>18.072536204024001</v>
      </c>
      <c r="G23" s="21">
        <v>36.4841559167536</v>
      </c>
      <c r="H23" s="21">
        <v>192.82329321066067</v>
      </c>
      <c r="J23" s="19"/>
    </row>
    <row r="24" spans="2:10" ht="13.5">
      <c r="B24" s="21">
        <v>367.508472078973</v>
      </c>
      <c r="C24" s="21">
        <v>-29.873125720876601</v>
      </c>
      <c r="G24" s="21">
        <v>-12.443576803766348</v>
      </c>
      <c r="H24" s="21">
        <v>26.410320581901878</v>
      </c>
      <c r="J24" s="19"/>
    </row>
    <row r="25" spans="2:10" ht="13.5">
      <c r="B25" s="21">
        <v>356.69073228230297</v>
      </c>
      <c r="C25" s="21">
        <v>17.8777393310266</v>
      </c>
      <c r="G25" s="21">
        <v>37.804481074176095</v>
      </c>
      <c r="H25" s="21">
        <v>217.93623892231662</v>
      </c>
      <c r="J25" s="19"/>
    </row>
    <row r="26" spans="2:10" ht="13.5">
      <c r="B26" s="21">
        <v>370.29320760276897</v>
      </c>
      <c r="C26" s="21">
        <v>1.36614122773285</v>
      </c>
      <c r="G26" s="21">
        <v>28.876268463952918</v>
      </c>
      <c r="H26" s="21">
        <v>202.02654141525394</v>
      </c>
      <c r="J26" s="19"/>
    </row>
    <row r="27" spans="2:10" ht="13.5">
      <c r="B27" s="21">
        <v>352.68307057610002</v>
      </c>
      <c r="C27" s="21">
        <v>-4.19069588619766</v>
      </c>
      <c r="G27" s="21">
        <v>-26.351702934991607</v>
      </c>
      <c r="H27" s="21">
        <v>41.965406186991757</v>
      </c>
      <c r="J27" s="19"/>
    </row>
    <row r="28" spans="2:10" ht="13.5">
      <c r="B28" s="21">
        <v>363.56564019448899</v>
      </c>
      <c r="C28" s="21">
        <v>13.0488273740868</v>
      </c>
      <c r="G28" s="21">
        <v>35.245312279206175</v>
      </c>
      <c r="H28" s="21">
        <v>209.46170587925334</v>
      </c>
      <c r="J28" s="19"/>
    </row>
    <row r="29" spans="2:10" ht="13.5">
      <c r="B29" s="21">
        <v>332.37070870782298</v>
      </c>
      <c r="C29" s="21">
        <v>12.9565551710878</v>
      </c>
      <c r="G29" s="21">
        <v>31.528044344835585</v>
      </c>
      <c r="H29" s="21">
        <v>246.51744502193645</v>
      </c>
      <c r="J29" s="19"/>
    </row>
    <row r="30" spans="2:10" ht="13.5">
      <c r="B30" s="21">
        <v>339.23382937969501</v>
      </c>
      <c r="C30" s="21">
        <v>12.0492118415993</v>
      </c>
      <c r="G30" s="21">
        <v>32.65483845663897</v>
      </c>
      <c r="H30" s="21">
        <v>238.55508613317619</v>
      </c>
      <c r="J30" s="19"/>
    </row>
    <row r="31" spans="2:10" ht="13.5">
      <c r="B31" s="21">
        <v>366.49182260203202</v>
      </c>
      <c r="C31" s="21">
        <v>17.370242214532801</v>
      </c>
      <c r="G31" s="21">
        <v>37.369700934819839</v>
      </c>
      <c r="H31" s="21">
        <v>205.72008753088244</v>
      </c>
      <c r="J31" s="19"/>
    </row>
    <row r="32" spans="2:10" ht="13.5">
      <c r="B32" s="21">
        <v>354.57492264623397</v>
      </c>
      <c r="C32" s="21">
        <v>49.009355376137101</v>
      </c>
      <c r="G32" s="21">
        <v>58.410471931380258</v>
      </c>
      <c r="H32" s="21">
        <v>222.80027486765979</v>
      </c>
      <c r="J32" s="19"/>
    </row>
    <row r="33" spans="2:10" ht="13.5">
      <c r="B33" s="21">
        <v>371.06232503314999</v>
      </c>
      <c r="C33" s="21">
        <v>15.7298474945532</v>
      </c>
      <c r="G33" s="21">
        <v>36.086964619938577</v>
      </c>
      <c r="H33" s="21">
        <v>200.20160937310135</v>
      </c>
      <c r="J33" s="19"/>
    </row>
    <row r="34" spans="2:10" ht="13.5">
      <c r="B34" s="21">
        <v>340.08840430234198</v>
      </c>
      <c r="C34" s="21">
        <v>27.812379853902101</v>
      </c>
      <c r="G34" s="21">
        <v>41.321869712663641</v>
      </c>
      <c r="H34" s="21">
        <v>239.80727107944529</v>
      </c>
      <c r="J34" s="19"/>
    </row>
    <row r="35" spans="2:10" ht="13.5">
      <c r="B35" s="21">
        <v>374.16531604537897</v>
      </c>
      <c r="C35" s="21">
        <v>24.470075611943901</v>
      </c>
      <c r="G35" s="21">
        <v>40.438675337725108</v>
      </c>
      <c r="H35" s="21">
        <v>195.52846818256774</v>
      </c>
      <c r="J35" s="19"/>
    </row>
    <row r="36" spans="2:10" ht="13.5">
      <c r="B36" s="21">
        <v>379.82319139531398</v>
      </c>
      <c r="C36" s="21">
        <v>34.286812764321098</v>
      </c>
      <c r="G36" s="21">
        <v>45.286516779023401</v>
      </c>
      <c r="H36" s="21">
        <v>186.65650669206769</v>
      </c>
      <c r="J36" s="19"/>
    </row>
    <row r="37" spans="2:10" ht="13.5">
      <c r="B37" s="21">
        <v>362.177692647708</v>
      </c>
      <c r="C37" s="21">
        <v>21.707035755478302</v>
      </c>
      <c r="G37" s="21">
        <v>39.931905163987665</v>
      </c>
      <c r="H37" s="21">
        <v>211.01426705130072</v>
      </c>
      <c r="J37" s="19"/>
    </row>
  </sheetData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8B768A-71D3-40F2-80A1-E035610E593A}">
  <dimension ref="A1:J12"/>
  <sheetViews>
    <sheetView workbookViewId="0">
      <selection sqref="A1:A1048576"/>
    </sheetView>
  </sheetViews>
  <sheetFormatPr defaultColWidth="8.81640625" defaultRowHeight="12.5"/>
  <cols>
    <col min="1" max="4" width="8.81640625" style="4"/>
    <col min="5" max="5" width="10.08984375" style="4" bestFit="1" customWidth="1"/>
    <col min="6" max="6" width="13.453125" style="4" bestFit="1" customWidth="1"/>
    <col min="7" max="8" width="8.81640625" style="4"/>
    <col min="9" max="9" width="23.1796875" style="4" bestFit="1" customWidth="1"/>
    <col min="10" max="10" width="15.81640625" style="4" customWidth="1"/>
    <col min="11" max="16384" width="8.81640625" style="4"/>
  </cols>
  <sheetData>
    <row r="1" spans="1:10">
      <c r="A1" s="62" t="s">
        <v>0</v>
      </c>
      <c r="B1" s="56" t="s">
        <v>1</v>
      </c>
      <c r="C1" s="56" t="s">
        <v>2</v>
      </c>
      <c r="D1" s="56" t="s">
        <v>3</v>
      </c>
      <c r="E1" s="56" t="s">
        <v>4</v>
      </c>
      <c r="F1" s="56" t="s">
        <v>5</v>
      </c>
      <c r="G1" s="56" t="s">
        <v>6</v>
      </c>
      <c r="H1" s="56" t="s">
        <v>7</v>
      </c>
      <c r="I1" s="4" t="s">
        <v>9</v>
      </c>
      <c r="J1" s="4" t="s">
        <v>8</v>
      </c>
    </row>
    <row r="2" spans="1:10" ht="13">
      <c r="A2" s="4">
        <v>1</v>
      </c>
      <c r="B2" s="4">
        <v>27.1</v>
      </c>
      <c r="C2" s="4">
        <v>28.8</v>
      </c>
      <c r="D2" s="4">
        <v>16.600000000000001</v>
      </c>
      <c r="E2" s="4">
        <v>16.899999999999999</v>
      </c>
      <c r="F2" s="4">
        <v>6</v>
      </c>
      <c r="G2" s="4">
        <v>43.7</v>
      </c>
      <c r="H2" s="4">
        <v>158.5</v>
      </c>
      <c r="I2" s="4" t="s">
        <v>757</v>
      </c>
      <c r="J2" s="81"/>
    </row>
    <row r="3" spans="1:10">
      <c r="A3" s="4">
        <v>2</v>
      </c>
      <c r="B3" s="4">
        <v>12.3</v>
      </c>
      <c r="C3" s="4">
        <v>36.5</v>
      </c>
      <c r="D3" s="4">
        <v>39.799999999999997</v>
      </c>
      <c r="E3" s="4">
        <v>14.9</v>
      </c>
      <c r="F3" s="4">
        <v>4</v>
      </c>
      <c r="G3" s="4">
        <v>52.2</v>
      </c>
      <c r="H3" s="4">
        <v>176.4</v>
      </c>
      <c r="I3" s="4" t="s">
        <v>757</v>
      </c>
    </row>
    <row r="4" spans="1:10">
      <c r="A4" s="4">
        <v>3</v>
      </c>
      <c r="B4" s="4">
        <v>17.899999999999999</v>
      </c>
      <c r="C4" s="4">
        <v>35.1</v>
      </c>
      <c r="D4" s="4">
        <v>12.4</v>
      </c>
      <c r="E4" s="4">
        <v>27.2</v>
      </c>
      <c r="F4" s="4">
        <v>4</v>
      </c>
      <c r="G4" s="4">
        <v>50.1</v>
      </c>
      <c r="H4" s="4">
        <v>169</v>
      </c>
      <c r="I4" s="4" t="s">
        <v>757</v>
      </c>
    </row>
    <row r="5" spans="1:10">
      <c r="A5" s="4">
        <v>4</v>
      </c>
      <c r="B5" s="4">
        <v>31</v>
      </c>
      <c r="C5" s="4">
        <v>20.6</v>
      </c>
      <c r="D5" s="4">
        <v>41.8</v>
      </c>
      <c r="E5" s="4">
        <v>12</v>
      </c>
      <c r="F5" s="4">
        <v>5</v>
      </c>
      <c r="G5" s="4">
        <v>37.9</v>
      </c>
      <c r="H5" s="4">
        <v>156</v>
      </c>
      <c r="I5" s="4" t="s">
        <v>757</v>
      </c>
    </row>
    <row r="6" spans="1:10">
      <c r="A6" s="4">
        <v>7</v>
      </c>
      <c r="B6" s="4">
        <v>0.9</v>
      </c>
      <c r="C6" s="4">
        <v>23.4</v>
      </c>
      <c r="D6" s="4">
        <v>18.600000000000001</v>
      </c>
      <c r="E6" s="4">
        <v>29.4</v>
      </c>
      <c r="F6" s="4">
        <v>3</v>
      </c>
      <c r="G6" s="4">
        <v>45.2</v>
      </c>
      <c r="H6" s="4">
        <v>194.9</v>
      </c>
      <c r="I6" s="4" t="s">
        <v>757</v>
      </c>
    </row>
    <row r="7" spans="1:10">
      <c r="A7" s="4">
        <v>8</v>
      </c>
      <c r="B7" s="4">
        <v>4.0999999999999996</v>
      </c>
      <c r="C7" s="4">
        <v>24.6</v>
      </c>
      <c r="D7" s="4">
        <v>57.5</v>
      </c>
      <c r="E7" s="4">
        <v>16.399999999999999</v>
      </c>
      <c r="F7" s="4">
        <v>3</v>
      </c>
      <c r="G7" s="4">
        <v>45.8</v>
      </c>
      <c r="H7" s="4">
        <v>190.4</v>
      </c>
      <c r="I7" s="4" t="s">
        <v>757</v>
      </c>
    </row>
    <row r="8" spans="1:10">
      <c r="A8" s="4">
        <v>9</v>
      </c>
      <c r="B8" s="4">
        <v>13.3</v>
      </c>
      <c r="C8" s="4">
        <v>18.100000000000001</v>
      </c>
      <c r="D8" s="4">
        <v>15.2</v>
      </c>
      <c r="E8" s="4">
        <v>20.3</v>
      </c>
      <c r="F8" s="4">
        <v>5</v>
      </c>
      <c r="G8" s="4">
        <v>40.6</v>
      </c>
      <c r="H8" s="4">
        <v>178</v>
      </c>
      <c r="I8" s="4" t="s">
        <v>757</v>
      </c>
    </row>
    <row r="9" spans="1:10">
      <c r="A9" s="4">
        <v>10</v>
      </c>
      <c r="B9" s="4">
        <v>9.5</v>
      </c>
      <c r="C9" s="4">
        <v>23.5</v>
      </c>
      <c r="D9" s="4">
        <v>14.8</v>
      </c>
      <c r="E9" s="4">
        <v>20.6</v>
      </c>
      <c r="F9" s="4">
        <v>5</v>
      </c>
      <c r="G9" s="4">
        <v>44.1</v>
      </c>
      <c r="H9" s="4">
        <v>182.4</v>
      </c>
      <c r="I9" s="4" t="s">
        <v>757</v>
      </c>
    </row>
    <row r="10" spans="1:10">
      <c r="A10" s="4">
        <v>11</v>
      </c>
      <c r="B10" s="4">
        <v>7.6</v>
      </c>
      <c r="C10" s="4">
        <v>7.8</v>
      </c>
      <c r="D10" s="4">
        <v>22</v>
      </c>
      <c r="E10" s="4">
        <v>13.2</v>
      </c>
      <c r="F10" s="4">
        <v>7</v>
      </c>
      <c r="G10" s="4">
        <v>36</v>
      </c>
      <c r="H10" s="4">
        <v>186</v>
      </c>
      <c r="I10" s="4" t="s">
        <v>757</v>
      </c>
    </row>
    <row r="11" spans="1:10">
      <c r="A11" s="4">
        <v>14</v>
      </c>
      <c r="B11" s="4">
        <v>352.1</v>
      </c>
      <c r="C11" s="4">
        <v>33.5</v>
      </c>
      <c r="D11" s="4">
        <v>49.1</v>
      </c>
      <c r="E11" s="4">
        <v>7</v>
      </c>
      <c r="F11" s="4">
        <v>10</v>
      </c>
      <c r="G11" s="4">
        <v>51.2</v>
      </c>
      <c r="H11" s="4">
        <v>207.6</v>
      </c>
      <c r="I11" s="4" t="s">
        <v>757</v>
      </c>
    </row>
    <row r="12" spans="1:10">
      <c r="A12" s="4">
        <v>15</v>
      </c>
      <c r="B12" s="4">
        <v>166.8</v>
      </c>
      <c r="C12" s="4">
        <v>-18.2</v>
      </c>
      <c r="D12" s="4">
        <v>44.2</v>
      </c>
      <c r="E12" s="4">
        <v>10.199999999999999</v>
      </c>
      <c r="F12" s="4">
        <v>6</v>
      </c>
      <c r="G12" s="4">
        <v>41</v>
      </c>
      <c r="H12" s="4">
        <v>212.9</v>
      </c>
      <c r="I12" s="4" t="s">
        <v>757</v>
      </c>
    </row>
  </sheetData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078769-C4B8-45BD-BEB1-799C2B683FD5}">
  <dimension ref="A1:J6"/>
  <sheetViews>
    <sheetView workbookViewId="0">
      <selection sqref="A1:A1048576"/>
    </sheetView>
  </sheetViews>
  <sheetFormatPr defaultColWidth="8.81640625" defaultRowHeight="12.5"/>
  <cols>
    <col min="1" max="9" width="8.81640625" style="4"/>
    <col min="10" max="10" width="15.81640625" style="4" customWidth="1"/>
    <col min="11" max="16384" width="8.81640625" style="4"/>
  </cols>
  <sheetData>
    <row r="1" spans="1:10">
      <c r="A1" s="62" t="s">
        <v>0</v>
      </c>
      <c r="B1" s="56" t="s">
        <v>1</v>
      </c>
      <c r="C1" s="56" t="s">
        <v>2</v>
      </c>
      <c r="D1" s="56" t="s">
        <v>3</v>
      </c>
      <c r="E1" s="56" t="s">
        <v>4</v>
      </c>
      <c r="F1" s="56" t="s">
        <v>5</v>
      </c>
      <c r="G1" s="56" t="s">
        <v>6</v>
      </c>
      <c r="H1" s="56" t="s">
        <v>7</v>
      </c>
      <c r="I1" s="4" t="s">
        <v>9</v>
      </c>
      <c r="J1" s="4" t="s">
        <v>8</v>
      </c>
    </row>
    <row r="2" spans="1:10" ht="13.5">
      <c r="A2" s="4" t="s">
        <v>758</v>
      </c>
      <c r="B2" s="4">
        <v>341.5</v>
      </c>
      <c r="C2" s="4">
        <v>28.8</v>
      </c>
      <c r="D2" s="4">
        <v>37</v>
      </c>
      <c r="E2" s="4">
        <v>6.9</v>
      </c>
      <c r="F2" s="4">
        <v>13</v>
      </c>
      <c r="G2" s="21">
        <v>39.5</v>
      </c>
      <c r="H2" s="21">
        <v>219.65314429154574</v>
      </c>
      <c r="J2" s="20" t="s">
        <v>351</v>
      </c>
    </row>
    <row r="3" spans="1:10" ht="13.5">
      <c r="A3" s="4" t="s">
        <v>759</v>
      </c>
      <c r="B3" s="4">
        <v>139.9</v>
      </c>
      <c r="C3" s="4">
        <v>-53.6</v>
      </c>
      <c r="D3" s="4">
        <v>44</v>
      </c>
      <c r="E3" s="4">
        <v>7.4</v>
      </c>
      <c r="F3" s="4">
        <v>10</v>
      </c>
      <c r="G3" s="21">
        <v>51.3</v>
      </c>
      <c r="H3" s="21">
        <v>254.89083510739573</v>
      </c>
      <c r="J3" s="20" t="s">
        <v>351</v>
      </c>
    </row>
    <row r="4" spans="1:10" ht="13.5">
      <c r="A4" s="4" t="s">
        <v>760</v>
      </c>
      <c r="B4" s="4">
        <v>339.3</v>
      </c>
      <c r="C4" s="4">
        <v>44.9</v>
      </c>
      <c r="D4" s="4">
        <v>178</v>
      </c>
      <c r="E4" s="4">
        <v>3.6</v>
      </c>
      <c r="F4" s="4">
        <v>10</v>
      </c>
      <c r="G4" s="21">
        <v>50.019267097158867</v>
      </c>
      <c r="H4" s="21">
        <v>225.77073251055927</v>
      </c>
      <c r="J4" s="20" t="s">
        <v>351</v>
      </c>
    </row>
    <row r="5" spans="1:10" ht="13.5">
      <c r="A5" s="4" t="s">
        <v>761</v>
      </c>
      <c r="B5" s="4">
        <v>319.3</v>
      </c>
      <c r="C5" s="4">
        <v>42.3</v>
      </c>
      <c r="D5" s="4">
        <v>32</v>
      </c>
      <c r="E5" s="4">
        <v>10.9</v>
      </c>
      <c r="F5" s="4">
        <v>7</v>
      </c>
      <c r="G5" s="21">
        <v>42.4</v>
      </c>
      <c r="H5" s="21">
        <v>249.70244128043782</v>
      </c>
      <c r="J5" s="20" t="s">
        <v>351</v>
      </c>
    </row>
    <row r="6" spans="1:10" ht="13.5">
      <c r="A6" s="4" t="s">
        <v>762</v>
      </c>
      <c r="B6" s="4">
        <v>341.3</v>
      </c>
      <c r="C6" s="4">
        <v>29.1</v>
      </c>
      <c r="D6" s="4">
        <v>62</v>
      </c>
      <c r="E6" s="4">
        <v>7.1</v>
      </c>
      <c r="F6" s="4">
        <v>10</v>
      </c>
      <c r="G6" s="21">
        <v>39.799999999999997</v>
      </c>
      <c r="H6" s="21">
        <v>219.99102588096369</v>
      </c>
      <c r="J6" s="20" t="s">
        <v>351</v>
      </c>
    </row>
  </sheetData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9DDDD4-C00C-4893-8BEB-C527A78F0C87}">
  <dimension ref="A1:J5"/>
  <sheetViews>
    <sheetView zoomScale="120" zoomScaleNormal="120" workbookViewId="0">
      <selection sqref="A1:A1048576"/>
    </sheetView>
  </sheetViews>
  <sheetFormatPr defaultColWidth="8.81640625" defaultRowHeight="12.5"/>
  <cols>
    <col min="1" max="9" width="8.81640625" style="4"/>
    <col min="10" max="10" width="15.81640625" style="4" customWidth="1"/>
    <col min="11" max="16384" width="8.81640625" style="4"/>
  </cols>
  <sheetData>
    <row r="1" spans="1:10">
      <c r="A1" s="62" t="s">
        <v>0</v>
      </c>
      <c r="B1" s="56" t="s">
        <v>1</v>
      </c>
      <c r="C1" s="56" t="s">
        <v>2</v>
      </c>
      <c r="D1" s="56" t="s">
        <v>3</v>
      </c>
      <c r="E1" s="56" t="s">
        <v>4</v>
      </c>
      <c r="F1" s="56" t="s">
        <v>5</v>
      </c>
      <c r="G1" s="56" t="s">
        <v>6</v>
      </c>
      <c r="H1" s="56" t="s">
        <v>7</v>
      </c>
      <c r="I1" s="4" t="s">
        <v>9</v>
      </c>
      <c r="J1" s="4" t="s">
        <v>8</v>
      </c>
    </row>
    <row r="2" spans="1:10">
      <c r="A2" s="4" t="s">
        <v>763</v>
      </c>
      <c r="B2" s="4">
        <v>171.9</v>
      </c>
      <c r="C2" s="4">
        <v>-46.3</v>
      </c>
      <c r="D2" s="4">
        <v>41</v>
      </c>
      <c r="E2" s="4">
        <v>8.1</v>
      </c>
      <c r="F2" s="4">
        <v>9</v>
      </c>
      <c r="G2" s="21">
        <v>56.4</v>
      </c>
      <c r="H2" s="21">
        <v>223.2</v>
      </c>
    </row>
    <row r="3" spans="1:10">
      <c r="A3" s="4" t="s">
        <v>764</v>
      </c>
      <c r="B3" s="4">
        <v>345.6</v>
      </c>
      <c r="C3" s="4">
        <v>43.5</v>
      </c>
      <c r="D3" s="4">
        <v>216</v>
      </c>
      <c r="E3" s="4">
        <v>8.4</v>
      </c>
      <c r="F3" s="4">
        <v>17</v>
      </c>
      <c r="G3" s="21">
        <v>53</v>
      </c>
      <c r="H3" s="21">
        <v>231.1</v>
      </c>
    </row>
    <row r="4" spans="1:10">
      <c r="A4" s="4" t="s">
        <v>765</v>
      </c>
      <c r="B4" s="4">
        <v>342.7</v>
      </c>
      <c r="C4" s="4">
        <v>32.299999999999997</v>
      </c>
      <c r="D4" s="4">
        <v>139</v>
      </c>
      <c r="E4" s="4">
        <v>3.7</v>
      </c>
      <c r="F4" s="4">
        <v>12</v>
      </c>
      <c r="G4" s="21">
        <v>22.8</v>
      </c>
      <c r="H4" s="21">
        <v>193.1</v>
      </c>
    </row>
    <row r="5" spans="1:10">
      <c r="A5" s="4" t="s">
        <v>766</v>
      </c>
      <c r="B5" s="4">
        <v>349.5</v>
      </c>
      <c r="C5" s="4">
        <v>40.200000000000003</v>
      </c>
      <c r="D5" s="4">
        <v>116</v>
      </c>
      <c r="E5" s="4">
        <v>8.6</v>
      </c>
      <c r="F5" s="4">
        <v>4</v>
      </c>
      <c r="G5" s="21">
        <v>50.9</v>
      </c>
      <c r="H5" s="21">
        <v>225.8</v>
      </c>
    </row>
  </sheetData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201481-F86C-4193-8201-21B9E2A36C0A}">
  <dimension ref="A1:J1"/>
  <sheetViews>
    <sheetView workbookViewId="0">
      <selection sqref="A1:A1048576"/>
    </sheetView>
  </sheetViews>
  <sheetFormatPr defaultColWidth="8.81640625" defaultRowHeight="12.5"/>
  <cols>
    <col min="1" max="9" width="8.81640625" style="4"/>
    <col min="10" max="10" width="15.81640625" style="4" customWidth="1"/>
    <col min="11" max="16384" width="8.81640625" style="4"/>
  </cols>
  <sheetData>
    <row r="1" spans="1:10">
      <c r="A1" s="62" t="s">
        <v>0</v>
      </c>
      <c r="B1" s="56" t="s">
        <v>1</v>
      </c>
      <c r="C1" s="56" t="s">
        <v>2</v>
      </c>
      <c r="D1" s="56" t="s">
        <v>3</v>
      </c>
      <c r="E1" s="56" t="s">
        <v>4</v>
      </c>
      <c r="F1" s="56" t="s">
        <v>5</v>
      </c>
      <c r="G1" s="56" t="s">
        <v>6</v>
      </c>
      <c r="H1" s="56" t="s">
        <v>7</v>
      </c>
      <c r="I1" s="4" t="s">
        <v>9</v>
      </c>
      <c r="J1" s="4" t="s">
        <v>8</v>
      </c>
    </row>
  </sheetData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70BCA7-2137-4F2A-A71C-0454E708D4D1}">
  <dimension ref="A1:J26"/>
  <sheetViews>
    <sheetView workbookViewId="0">
      <selection sqref="A1:A1048576"/>
    </sheetView>
  </sheetViews>
  <sheetFormatPr defaultColWidth="8.81640625" defaultRowHeight="12.5"/>
  <cols>
    <col min="1" max="9" width="8.81640625" style="55"/>
    <col min="10" max="10" width="15.81640625" style="55" customWidth="1"/>
    <col min="11" max="16384" width="8.81640625" style="55"/>
  </cols>
  <sheetData>
    <row r="1" spans="1:10">
      <c r="A1" s="65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55" t="s">
        <v>9</v>
      </c>
      <c r="J1" s="55" t="s">
        <v>8</v>
      </c>
    </row>
    <row r="2" spans="1:10">
      <c r="A2" s="55" t="s">
        <v>767</v>
      </c>
      <c r="B2" s="55">
        <v>326.5</v>
      </c>
      <c r="C2" s="55">
        <v>51.3</v>
      </c>
      <c r="D2" s="55">
        <v>37</v>
      </c>
      <c r="E2" s="55">
        <v>8.6</v>
      </c>
      <c r="F2" s="55">
        <v>9</v>
      </c>
      <c r="G2" s="66">
        <v>48.312424695108817</v>
      </c>
      <c r="H2" s="66">
        <v>260.7996205755249</v>
      </c>
      <c r="J2" s="55" t="s">
        <v>351</v>
      </c>
    </row>
    <row r="3" spans="1:10">
      <c r="A3" s="55" t="s">
        <v>768</v>
      </c>
      <c r="B3" s="55">
        <v>331</v>
      </c>
      <c r="C3" s="55">
        <v>46.9</v>
      </c>
      <c r="D3" s="55">
        <v>99</v>
      </c>
      <c r="E3" s="55">
        <v>6.1</v>
      </c>
      <c r="F3" s="55">
        <v>7</v>
      </c>
      <c r="G3" s="66">
        <v>45.660770365775683</v>
      </c>
      <c r="H3" s="66">
        <v>253.76882240850296</v>
      </c>
      <c r="J3" s="55" t="s">
        <v>351</v>
      </c>
    </row>
    <row r="4" spans="1:10">
      <c r="A4" s="55" t="s">
        <v>769</v>
      </c>
      <c r="B4" s="55">
        <v>342</v>
      </c>
      <c r="C4" s="55">
        <v>53.9</v>
      </c>
      <c r="D4" s="55">
        <v>35</v>
      </c>
      <c r="E4" s="55">
        <v>8.3000000000000007</v>
      </c>
      <c r="F4" s="55">
        <v>10</v>
      </c>
      <c r="G4" s="66">
        <v>53.908991198345447</v>
      </c>
      <c r="H4" s="66">
        <v>241.7058306814765</v>
      </c>
      <c r="J4" s="55" t="s">
        <v>351</v>
      </c>
    </row>
    <row r="5" spans="1:10">
      <c r="A5" s="55" t="s">
        <v>770</v>
      </c>
      <c r="B5" s="55">
        <v>334.3</v>
      </c>
      <c r="C5" s="55">
        <v>49.2</v>
      </c>
      <c r="D5" s="55">
        <v>276</v>
      </c>
      <c r="E5" s="55">
        <v>3.1</v>
      </c>
      <c r="F5" s="55">
        <v>9</v>
      </c>
      <c r="G5" s="66">
        <v>48.269508719978091</v>
      </c>
      <c r="H5" s="66">
        <v>250.42259868357451</v>
      </c>
      <c r="J5" s="55" t="s">
        <v>351</v>
      </c>
    </row>
    <row r="6" spans="1:10">
      <c r="A6" s="55" t="s">
        <v>771</v>
      </c>
      <c r="B6" s="55">
        <v>325.39999999999998</v>
      </c>
      <c r="C6" s="55">
        <v>41.1</v>
      </c>
      <c r="D6" s="55">
        <v>313</v>
      </c>
      <c r="E6" s="55">
        <v>2.9</v>
      </c>
      <c r="F6" s="55">
        <v>9</v>
      </c>
      <c r="G6" s="66">
        <v>39.980166387104013</v>
      </c>
      <c r="H6" s="66">
        <v>258.89187350436862</v>
      </c>
      <c r="J6" s="55" t="s">
        <v>351</v>
      </c>
    </row>
    <row r="7" spans="1:10">
      <c r="A7" s="55" t="s">
        <v>772</v>
      </c>
      <c r="B7" s="55">
        <v>339.9</v>
      </c>
      <c r="C7" s="55">
        <v>46.2</v>
      </c>
      <c r="D7" s="55">
        <v>73</v>
      </c>
      <c r="E7" s="55">
        <v>10.8</v>
      </c>
      <c r="F7" s="55">
        <v>4</v>
      </c>
      <c r="G7" s="66">
        <v>46.788396536623544</v>
      </c>
      <c r="H7" s="66">
        <v>242.53031410359895</v>
      </c>
      <c r="J7" s="55" t="s">
        <v>351</v>
      </c>
    </row>
    <row r="8" spans="1:10">
      <c r="A8" s="55" t="s">
        <v>773</v>
      </c>
      <c r="B8" s="55">
        <v>342.3</v>
      </c>
      <c r="C8" s="55">
        <v>46.1</v>
      </c>
      <c r="D8" s="55">
        <v>81</v>
      </c>
      <c r="E8" s="55">
        <v>8.6</v>
      </c>
      <c r="F8" s="55">
        <v>5</v>
      </c>
      <c r="G8" s="66">
        <v>47.067596459953677</v>
      </c>
      <c r="H8" s="66">
        <v>239.43738580998209</v>
      </c>
      <c r="J8" s="55" t="s">
        <v>351</v>
      </c>
    </row>
    <row r="9" spans="1:10">
      <c r="A9" s="55" t="s">
        <v>774</v>
      </c>
      <c r="B9" s="55">
        <v>342.9</v>
      </c>
      <c r="C9" s="55">
        <v>64.3</v>
      </c>
      <c r="D9" s="55">
        <v>94</v>
      </c>
      <c r="E9" s="55">
        <v>12.8</v>
      </c>
      <c r="F9" s="55">
        <v>3</v>
      </c>
      <c r="G9" s="66">
        <v>66.204056507620891</v>
      </c>
      <c r="H9" s="66">
        <v>249.40594907500056</v>
      </c>
      <c r="J9" s="55" t="s">
        <v>351</v>
      </c>
    </row>
    <row r="10" spans="1:10">
      <c r="A10" s="55" t="s">
        <v>775</v>
      </c>
      <c r="B10" s="55">
        <v>338.1</v>
      </c>
      <c r="C10" s="55">
        <v>52.9</v>
      </c>
      <c r="D10" s="55">
        <v>113</v>
      </c>
      <c r="E10" s="55">
        <v>11.6</v>
      </c>
      <c r="F10" s="55">
        <v>3</v>
      </c>
      <c r="G10" s="66">
        <v>53.064903353986111</v>
      </c>
      <c r="H10" s="66">
        <v>250.2327105726732</v>
      </c>
      <c r="J10" s="55" t="s">
        <v>351</v>
      </c>
    </row>
    <row r="11" spans="1:10">
      <c r="A11" s="55" t="s">
        <v>776</v>
      </c>
      <c r="B11" s="55">
        <v>347.8</v>
      </c>
      <c r="C11" s="55">
        <v>57.7</v>
      </c>
      <c r="D11" s="55">
        <v>163</v>
      </c>
      <c r="E11" s="55">
        <v>4.4000000000000004</v>
      </c>
      <c r="F11" s="55">
        <v>8</v>
      </c>
      <c r="G11" s="66">
        <v>59.263698409757865</v>
      </c>
      <c r="H11" s="66">
        <v>237.38183887673748</v>
      </c>
      <c r="J11" s="55" t="s">
        <v>351</v>
      </c>
    </row>
    <row r="12" spans="1:10">
      <c r="A12" s="55" t="s">
        <v>777</v>
      </c>
      <c r="B12" s="55">
        <v>7.9</v>
      </c>
      <c r="C12" s="55">
        <v>44</v>
      </c>
      <c r="D12" s="55">
        <v>104</v>
      </c>
      <c r="E12" s="55">
        <v>4.7</v>
      </c>
      <c r="F12" s="55">
        <v>10</v>
      </c>
      <c r="G12" s="66">
        <v>47.182591522091919</v>
      </c>
      <c r="H12" s="66">
        <v>207.94303686638955</v>
      </c>
      <c r="J12" s="55" t="s">
        <v>351</v>
      </c>
    </row>
    <row r="13" spans="1:10">
      <c r="A13" s="55" t="s">
        <v>778</v>
      </c>
      <c r="B13" s="55">
        <v>8.9</v>
      </c>
      <c r="C13" s="55">
        <v>40.200000000000003</v>
      </c>
      <c r="D13" s="55">
        <v>38</v>
      </c>
      <c r="E13" s="55">
        <v>11</v>
      </c>
      <c r="F13" s="55">
        <v>6</v>
      </c>
      <c r="G13" s="66">
        <v>44.253104665070033</v>
      </c>
      <c r="H13" s="66">
        <v>206.95915765549753</v>
      </c>
      <c r="J13" s="55" t="s">
        <v>351</v>
      </c>
    </row>
    <row r="14" spans="1:10">
      <c r="A14" s="55" t="s">
        <v>779</v>
      </c>
      <c r="B14" s="55">
        <v>356.3</v>
      </c>
      <c r="C14" s="55">
        <v>49.3</v>
      </c>
      <c r="D14" s="55">
        <v>120</v>
      </c>
      <c r="E14" s="55">
        <v>7</v>
      </c>
      <c r="F14" s="55">
        <v>5</v>
      </c>
      <c r="G14" s="66">
        <v>51.780249398767033</v>
      </c>
      <c r="H14" s="66">
        <v>223.61057110410371</v>
      </c>
      <c r="J14" s="55" t="s">
        <v>351</v>
      </c>
    </row>
    <row r="15" spans="1:10">
      <c r="A15" s="55" t="s">
        <v>780</v>
      </c>
      <c r="B15" s="55">
        <v>352.3</v>
      </c>
      <c r="C15" s="55">
        <v>49.4</v>
      </c>
      <c r="F15" s="55">
        <v>2</v>
      </c>
      <c r="G15" s="66">
        <v>51.663441066192021</v>
      </c>
      <c r="H15" s="66">
        <v>229.19014781072315</v>
      </c>
      <c r="J15" s="55" t="s">
        <v>351</v>
      </c>
    </row>
    <row r="16" spans="1:10">
      <c r="A16" s="55" t="s">
        <v>781</v>
      </c>
      <c r="B16" s="55">
        <v>347.8</v>
      </c>
      <c r="C16" s="55">
        <v>60.2</v>
      </c>
      <c r="D16" s="55">
        <v>158</v>
      </c>
      <c r="E16" s="55">
        <v>3.9</v>
      </c>
      <c r="F16" s="55">
        <v>10</v>
      </c>
      <c r="G16" s="66">
        <v>62.012153290357318</v>
      </c>
      <c r="H16" s="66">
        <v>238.27251958890525</v>
      </c>
      <c r="J16" s="55" t="s">
        <v>351</v>
      </c>
    </row>
    <row r="17" spans="1:10">
      <c r="A17" s="55" t="s">
        <v>782</v>
      </c>
      <c r="B17" s="55">
        <v>345.7</v>
      </c>
      <c r="C17" s="55">
        <v>59</v>
      </c>
      <c r="D17" s="55">
        <v>108</v>
      </c>
      <c r="E17" s="55">
        <v>4.7</v>
      </c>
      <c r="F17" s="55">
        <v>10</v>
      </c>
      <c r="G17" s="66">
        <v>60.395201548466218</v>
      </c>
      <c r="H17" s="66">
        <v>241.04471977362348</v>
      </c>
      <c r="J17" s="55" t="s">
        <v>351</v>
      </c>
    </row>
    <row r="18" spans="1:10">
      <c r="A18" s="55" t="s">
        <v>783</v>
      </c>
      <c r="B18" s="55">
        <v>1.8</v>
      </c>
      <c r="C18" s="55">
        <v>54</v>
      </c>
      <c r="F18" s="55">
        <v>2</v>
      </c>
      <c r="G18" s="66">
        <v>56.179689737033478</v>
      </c>
      <c r="H18" s="66">
        <v>215.77103443302184</v>
      </c>
      <c r="J18" s="55" t="s">
        <v>351</v>
      </c>
    </row>
    <row r="19" spans="1:10">
      <c r="A19" s="55" t="s">
        <v>784</v>
      </c>
      <c r="B19" s="55">
        <v>4.7</v>
      </c>
      <c r="C19" s="55">
        <v>47.9</v>
      </c>
      <c r="D19" s="55">
        <v>50</v>
      </c>
      <c r="E19" s="55">
        <v>10.9</v>
      </c>
      <c r="F19" s="55">
        <v>5</v>
      </c>
      <c r="G19" s="66">
        <v>50.520207874530414</v>
      </c>
      <c r="H19" s="66">
        <v>211.96115627257143</v>
      </c>
      <c r="J19" s="55" t="s">
        <v>351</v>
      </c>
    </row>
    <row r="20" spans="1:10">
      <c r="A20" s="55" t="s">
        <v>785</v>
      </c>
      <c r="B20" s="55">
        <v>357.2</v>
      </c>
      <c r="C20" s="55">
        <v>51.4</v>
      </c>
      <c r="D20" s="55">
        <v>71</v>
      </c>
      <c r="E20" s="55">
        <v>9.1</v>
      </c>
      <c r="F20" s="55">
        <v>5</v>
      </c>
      <c r="G20" s="66">
        <v>53.688611052031071</v>
      </c>
      <c r="H20" s="66">
        <v>222.44465021546873</v>
      </c>
      <c r="J20" s="55" t="s">
        <v>351</v>
      </c>
    </row>
    <row r="21" spans="1:10">
      <c r="A21" s="55" t="s">
        <v>786</v>
      </c>
      <c r="B21" s="55">
        <v>1.5</v>
      </c>
      <c r="C21" s="55">
        <v>47</v>
      </c>
      <c r="D21" s="55">
        <v>41</v>
      </c>
      <c r="E21" s="55">
        <v>10.6</v>
      </c>
      <c r="F21" s="55">
        <v>6</v>
      </c>
      <c r="G21" s="66">
        <v>49.853844463560577</v>
      </c>
      <c r="H21" s="66">
        <v>216.38517649600038</v>
      </c>
      <c r="J21" s="55" t="s">
        <v>351</v>
      </c>
    </row>
    <row r="22" spans="1:10">
      <c r="A22" s="55" t="s">
        <v>787</v>
      </c>
      <c r="B22" s="55">
        <v>0.9</v>
      </c>
      <c r="C22" s="55">
        <v>50</v>
      </c>
      <c r="D22" s="55">
        <v>268</v>
      </c>
      <c r="E22" s="55">
        <v>5.6</v>
      </c>
      <c r="F22" s="55">
        <v>4</v>
      </c>
      <c r="G22" s="66">
        <v>52.445885821162022</v>
      </c>
      <c r="H22" s="66">
        <v>217.16810731013001</v>
      </c>
      <c r="J22" s="55" t="s">
        <v>351</v>
      </c>
    </row>
    <row r="23" spans="1:10">
      <c r="A23" s="55" t="s">
        <v>788</v>
      </c>
      <c r="B23" s="55">
        <v>330.4</v>
      </c>
      <c r="C23" s="55">
        <v>58.2</v>
      </c>
      <c r="D23" s="55">
        <v>405</v>
      </c>
      <c r="E23" s="55">
        <v>4.5999999999999996</v>
      </c>
      <c r="F23" s="55">
        <v>4</v>
      </c>
      <c r="G23" s="66">
        <v>56.432018812220171</v>
      </c>
      <c r="H23" s="66">
        <v>262.49464480470033</v>
      </c>
      <c r="J23" s="55" t="s">
        <v>351</v>
      </c>
    </row>
    <row r="24" spans="1:10">
      <c r="A24" s="55" t="s">
        <v>789</v>
      </c>
      <c r="B24" s="55">
        <v>350.9</v>
      </c>
      <c r="C24" s="55">
        <v>60.5</v>
      </c>
      <c r="D24" s="55">
        <v>141</v>
      </c>
      <c r="E24" s="55">
        <v>3.7</v>
      </c>
      <c r="F24" s="55">
        <v>12</v>
      </c>
      <c r="G24" s="66">
        <v>62.595210572376899</v>
      </c>
      <c r="H24" s="66">
        <v>233.12675965755963</v>
      </c>
      <c r="J24" s="55" t="s">
        <v>351</v>
      </c>
    </row>
    <row r="25" spans="1:10">
      <c r="A25" s="55" t="s">
        <v>790</v>
      </c>
      <c r="B25" s="55">
        <v>353</v>
      </c>
      <c r="C25" s="55">
        <v>58.3</v>
      </c>
      <c r="D25" s="55">
        <v>608</v>
      </c>
      <c r="E25" s="55">
        <v>2.2000000000000002</v>
      </c>
      <c r="F25" s="55">
        <v>8</v>
      </c>
      <c r="G25" s="66">
        <v>60.306519381736003</v>
      </c>
      <c r="H25" s="66">
        <v>229.23411864356893</v>
      </c>
      <c r="J25" s="55" t="s">
        <v>351</v>
      </c>
    </row>
    <row r="26" spans="1:10">
      <c r="A26" s="55" t="s">
        <v>791</v>
      </c>
      <c r="B26" s="55">
        <v>353.3</v>
      </c>
      <c r="C26" s="55">
        <v>54.3</v>
      </c>
      <c r="D26" s="55">
        <v>126</v>
      </c>
      <c r="E26" s="55">
        <v>4.0999999999999996</v>
      </c>
      <c r="F26" s="55">
        <v>11</v>
      </c>
      <c r="G26" s="66">
        <v>56.183985330676876</v>
      </c>
      <c r="H26" s="66">
        <v>228.11783969269925</v>
      </c>
      <c r="J26" s="55" t="s">
        <v>351</v>
      </c>
    </row>
  </sheetData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90C477-38F6-44B4-95DF-835A9522E6F6}">
  <dimension ref="A1:J22"/>
  <sheetViews>
    <sheetView workbookViewId="0">
      <selection sqref="A1:A1048576"/>
    </sheetView>
  </sheetViews>
  <sheetFormatPr defaultColWidth="8.81640625" defaultRowHeight="12.5"/>
  <cols>
    <col min="1" max="1" width="8.81640625" style="4"/>
    <col min="2" max="7" width="9.1796875" style="55"/>
    <col min="8" max="9" width="8.81640625" style="4"/>
    <col min="10" max="10" width="15.81640625" style="4" customWidth="1"/>
    <col min="11" max="16384" width="8.81640625" style="4"/>
  </cols>
  <sheetData>
    <row r="1" spans="1:10">
      <c r="A1" s="62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1" t="s">
        <v>7</v>
      </c>
      <c r="I1" s="4" t="s">
        <v>9</v>
      </c>
      <c r="J1" s="1" t="s">
        <v>8</v>
      </c>
    </row>
    <row r="2" spans="1:10" ht="13.5">
      <c r="A2" s="4" t="s">
        <v>735</v>
      </c>
      <c r="B2" s="55">
        <v>356.2</v>
      </c>
      <c r="C2" s="55">
        <v>41.8</v>
      </c>
      <c r="D2" s="55" t="s">
        <v>736</v>
      </c>
      <c r="E2" s="55" t="s">
        <v>736</v>
      </c>
      <c r="F2" s="55">
        <v>1</v>
      </c>
      <c r="G2" s="55">
        <v>51.7</v>
      </c>
      <c r="H2" s="4">
        <v>210.3</v>
      </c>
      <c r="J2" s="20" t="s">
        <v>351</v>
      </c>
    </row>
    <row r="3" spans="1:10" ht="13.5">
      <c r="A3" s="4" t="s">
        <v>140</v>
      </c>
      <c r="B3" s="55">
        <v>344.2</v>
      </c>
      <c r="C3" s="55">
        <v>34.5</v>
      </c>
      <c r="D3" s="55" t="s">
        <v>736</v>
      </c>
      <c r="E3" s="55" t="s">
        <v>736</v>
      </c>
      <c r="F3" s="55">
        <v>2</v>
      </c>
      <c r="G3" s="55">
        <v>45.4</v>
      </c>
      <c r="H3" s="4">
        <v>226.2</v>
      </c>
      <c r="J3" s="20" t="s">
        <v>351</v>
      </c>
    </row>
    <row r="4" spans="1:10" ht="13.5">
      <c r="A4" s="4" t="s">
        <v>137</v>
      </c>
      <c r="B4" s="55">
        <v>336.5</v>
      </c>
      <c r="C4" s="55">
        <v>37.200000000000003</v>
      </c>
      <c r="D4" s="55">
        <v>101.5</v>
      </c>
      <c r="E4" s="55">
        <v>9.1999999999999993</v>
      </c>
      <c r="F4" s="55">
        <v>4</v>
      </c>
      <c r="G4" s="55">
        <v>45.7</v>
      </c>
      <c r="H4" s="4">
        <v>236.7</v>
      </c>
      <c r="J4" s="20" t="s">
        <v>351</v>
      </c>
    </row>
    <row r="5" spans="1:10" ht="13.5">
      <c r="A5" s="4" t="s">
        <v>135</v>
      </c>
      <c r="B5" s="55">
        <v>344.3</v>
      </c>
      <c r="C5" s="55">
        <v>22.4</v>
      </c>
      <c r="D5" s="55">
        <v>32.1</v>
      </c>
      <c r="E5" s="55">
        <v>22.1</v>
      </c>
      <c r="F5" s="55">
        <v>3</v>
      </c>
      <c r="G5" s="55">
        <v>38.200000000000003</v>
      </c>
      <c r="H5" s="4">
        <v>224.3</v>
      </c>
      <c r="J5" s="20" t="s">
        <v>351</v>
      </c>
    </row>
    <row r="6" spans="1:10" ht="13.5">
      <c r="A6" s="4" t="s">
        <v>138</v>
      </c>
      <c r="B6" s="55">
        <v>344.4</v>
      </c>
      <c r="C6" s="55">
        <v>40.700000000000003</v>
      </c>
      <c r="D6" s="55">
        <v>59.3</v>
      </c>
      <c r="E6" s="55">
        <v>7.9</v>
      </c>
      <c r="F6" s="55">
        <v>7</v>
      </c>
      <c r="G6" s="55">
        <v>49.7</v>
      </c>
      <c r="H6" s="4">
        <v>227.3</v>
      </c>
      <c r="J6" s="20" t="s">
        <v>351</v>
      </c>
    </row>
    <row r="7" spans="1:10" ht="13.5">
      <c r="A7" s="4" t="s">
        <v>737</v>
      </c>
      <c r="B7" s="55">
        <v>339.5</v>
      </c>
      <c r="C7" s="55">
        <v>22.7</v>
      </c>
      <c r="D7" s="55">
        <v>43.4</v>
      </c>
      <c r="E7" s="55">
        <v>18.899999999999999</v>
      </c>
      <c r="F7" s="55">
        <v>3</v>
      </c>
      <c r="G7" s="55">
        <v>37.700000000000003</v>
      </c>
      <c r="H7" s="4">
        <v>230</v>
      </c>
      <c r="J7" s="20" t="s">
        <v>351</v>
      </c>
    </row>
    <row r="8" spans="1:10" ht="13.5">
      <c r="A8" s="4" t="s">
        <v>738</v>
      </c>
      <c r="B8" s="55">
        <v>346.4</v>
      </c>
      <c r="C8" s="55">
        <v>31.5</v>
      </c>
      <c r="D8" s="55" t="s">
        <v>736</v>
      </c>
      <c r="E8" s="55" t="s">
        <v>736</v>
      </c>
      <c r="F8" s="55">
        <v>2</v>
      </c>
      <c r="G8" s="55">
        <v>43.9</v>
      </c>
      <c r="H8" s="4">
        <v>222.8</v>
      </c>
      <c r="J8" s="20" t="s">
        <v>351</v>
      </c>
    </row>
    <row r="9" spans="1:10" ht="13.5">
      <c r="A9" s="4" t="s">
        <v>739</v>
      </c>
      <c r="B9" s="55">
        <v>341.6</v>
      </c>
      <c r="C9" s="55">
        <v>45.7</v>
      </c>
      <c r="D9" s="55" t="s">
        <v>736</v>
      </c>
      <c r="E9" s="55" t="s">
        <v>736</v>
      </c>
      <c r="F9" s="55">
        <v>1</v>
      </c>
      <c r="G9" s="55">
        <v>52.8</v>
      </c>
      <c r="H9" s="4">
        <v>232.5</v>
      </c>
      <c r="J9" s="20" t="s">
        <v>351</v>
      </c>
    </row>
    <row r="10" spans="1:10" ht="13.5">
      <c r="A10" s="4" t="s">
        <v>740</v>
      </c>
      <c r="B10" s="55">
        <v>341.6</v>
      </c>
      <c r="C10" s="55">
        <v>44.2</v>
      </c>
      <c r="D10" s="55">
        <v>73.099999999999994</v>
      </c>
      <c r="E10" s="55">
        <v>14.5</v>
      </c>
      <c r="F10" s="55">
        <v>3</v>
      </c>
      <c r="G10" s="55">
        <v>52.1</v>
      </c>
      <c r="H10" s="4">
        <v>232.3</v>
      </c>
      <c r="J10" s="20" t="s">
        <v>351</v>
      </c>
    </row>
    <row r="11" spans="1:10" ht="13.5">
      <c r="A11" s="4" t="s">
        <v>741</v>
      </c>
      <c r="B11" s="55">
        <v>341.9</v>
      </c>
      <c r="C11" s="55">
        <v>32.6</v>
      </c>
      <c r="D11" s="55">
        <v>25.7</v>
      </c>
      <c r="E11" s="55">
        <v>15.4</v>
      </c>
      <c r="F11" s="55">
        <v>4</v>
      </c>
      <c r="G11" s="55">
        <v>44.3</v>
      </c>
      <c r="H11" s="4">
        <v>228.3</v>
      </c>
      <c r="J11" s="20" t="s">
        <v>351</v>
      </c>
    </row>
    <row r="12" spans="1:10" ht="13.5">
      <c r="A12" s="4" t="s">
        <v>742</v>
      </c>
      <c r="B12" s="55">
        <v>351.1</v>
      </c>
      <c r="C12" s="55">
        <v>23.4</v>
      </c>
      <c r="D12" s="55">
        <v>13.9</v>
      </c>
      <c r="E12" s="55">
        <v>34.4</v>
      </c>
      <c r="F12" s="55">
        <v>3</v>
      </c>
      <c r="G12" s="55">
        <v>40</v>
      </c>
      <c r="H12" s="4">
        <v>216.6</v>
      </c>
      <c r="J12" s="20" t="s">
        <v>351</v>
      </c>
    </row>
    <row r="13" spans="1:10" ht="13.5">
      <c r="A13" s="4" t="s">
        <v>743</v>
      </c>
      <c r="B13" s="55">
        <v>358.4</v>
      </c>
      <c r="C13" s="55">
        <v>35.799999999999997</v>
      </c>
      <c r="D13" s="55" t="s">
        <v>736</v>
      </c>
      <c r="E13" s="55" t="s">
        <v>736</v>
      </c>
      <c r="F13" s="55">
        <v>2</v>
      </c>
      <c r="G13" s="55">
        <v>48.5</v>
      </c>
      <c r="H13" s="4">
        <v>206.7</v>
      </c>
      <c r="J13" s="20" t="s">
        <v>351</v>
      </c>
    </row>
    <row r="14" spans="1:10" ht="13.5">
      <c r="A14" s="4" t="s">
        <v>744</v>
      </c>
      <c r="B14" s="55">
        <v>353.3</v>
      </c>
      <c r="C14" s="55">
        <v>28.1</v>
      </c>
      <c r="D14" s="55">
        <v>57.5</v>
      </c>
      <c r="E14" s="55">
        <v>12.2</v>
      </c>
      <c r="F14" s="55">
        <v>4</v>
      </c>
      <c r="G14" s="55">
        <v>42.5</v>
      </c>
      <c r="H14" s="4">
        <v>213.3</v>
      </c>
      <c r="J14" s="20" t="s">
        <v>351</v>
      </c>
    </row>
    <row r="15" spans="1:10" ht="13.5">
      <c r="A15" s="4" t="s">
        <v>745</v>
      </c>
      <c r="B15" s="55">
        <v>348.2</v>
      </c>
      <c r="C15" s="55">
        <v>39.5</v>
      </c>
      <c r="D15" s="55">
        <v>39.5</v>
      </c>
      <c r="E15" s="55">
        <v>19.899999999999999</v>
      </c>
      <c r="F15" s="55">
        <v>3</v>
      </c>
      <c r="G15" s="55">
        <v>49.8</v>
      </c>
      <c r="H15" s="4">
        <v>221.7</v>
      </c>
      <c r="J15" s="20" t="s">
        <v>351</v>
      </c>
    </row>
    <row r="16" spans="1:10" ht="13.5">
      <c r="A16" s="4" t="s">
        <v>746</v>
      </c>
      <c r="B16" s="55">
        <v>354.4</v>
      </c>
      <c r="C16" s="55">
        <v>45</v>
      </c>
      <c r="D16" s="55">
        <v>130.1</v>
      </c>
      <c r="E16" s="55">
        <v>10.9</v>
      </c>
      <c r="F16" s="55">
        <v>3</v>
      </c>
      <c r="G16" s="55">
        <v>54.2</v>
      </c>
      <c r="H16" s="4">
        <v>213.5</v>
      </c>
      <c r="J16" s="20" t="s">
        <v>351</v>
      </c>
    </row>
    <row r="17" spans="1:10" ht="13.5">
      <c r="A17" s="4" t="s">
        <v>747</v>
      </c>
      <c r="B17" s="55">
        <v>334.7</v>
      </c>
      <c r="C17" s="55">
        <v>46.6</v>
      </c>
      <c r="D17" s="55">
        <v>223.4</v>
      </c>
      <c r="E17" s="55">
        <v>5.0999999999999996</v>
      </c>
      <c r="F17" s="55">
        <v>5</v>
      </c>
      <c r="G17" s="55">
        <v>52</v>
      </c>
      <c r="H17" s="4">
        <v>242.6</v>
      </c>
      <c r="J17" s="20" t="s">
        <v>351</v>
      </c>
    </row>
    <row r="18" spans="1:10" ht="13.5">
      <c r="A18" s="4" t="s">
        <v>748</v>
      </c>
      <c r="B18" s="55">
        <v>346.8</v>
      </c>
      <c r="C18" s="55">
        <v>54.9</v>
      </c>
      <c r="D18" s="55" t="s">
        <v>736</v>
      </c>
      <c r="E18" s="55" t="s">
        <v>736</v>
      </c>
      <c r="F18" s="55">
        <v>2</v>
      </c>
      <c r="G18" s="55">
        <v>61.9</v>
      </c>
      <c r="H18" s="4">
        <v>227.8</v>
      </c>
      <c r="J18" s="20" t="s">
        <v>351</v>
      </c>
    </row>
    <row r="19" spans="1:10" ht="13.5">
      <c r="A19" s="4" t="s">
        <v>749</v>
      </c>
      <c r="B19" s="55">
        <v>132.1</v>
      </c>
      <c r="C19" s="55">
        <v>-18.100000000000001</v>
      </c>
      <c r="D19" s="55">
        <v>175.2</v>
      </c>
      <c r="E19" s="55">
        <v>5.0999999999999996</v>
      </c>
      <c r="F19" s="55">
        <v>6</v>
      </c>
      <c r="G19" s="55">
        <v>-26.8</v>
      </c>
      <c r="H19" s="4">
        <v>79.8</v>
      </c>
      <c r="J19" s="20" t="s">
        <v>351</v>
      </c>
    </row>
    <row r="20" spans="1:10" ht="13.5">
      <c r="A20" s="4" t="s">
        <v>750</v>
      </c>
      <c r="B20" s="55">
        <v>136.9</v>
      </c>
      <c r="C20" s="55">
        <v>-26.1</v>
      </c>
      <c r="D20" s="55">
        <v>30.3</v>
      </c>
      <c r="E20" s="55">
        <v>17</v>
      </c>
      <c r="F20" s="55">
        <v>4</v>
      </c>
      <c r="G20" s="55">
        <v>-33.200000000000003</v>
      </c>
      <c r="H20" s="4">
        <v>77.400000000000006</v>
      </c>
      <c r="J20" s="20" t="s">
        <v>351</v>
      </c>
    </row>
    <row r="21" spans="1:10" ht="13.5">
      <c r="A21" s="4" t="s">
        <v>751</v>
      </c>
      <c r="B21" s="55">
        <v>141.30000000000001</v>
      </c>
      <c r="C21" s="55">
        <v>-24.7</v>
      </c>
      <c r="D21" s="55">
        <v>21.6</v>
      </c>
      <c r="E21" s="55">
        <v>16.8</v>
      </c>
      <c r="F21" s="55">
        <v>5</v>
      </c>
      <c r="G21" s="55">
        <v>-34.200000000000003</v>
      </c>
      <c r="H21" s="4">
        <v>71.099999999999994</v>
      </c>
      <c r="J21" s="20" t="s">
        <v>351</v>
      </c>
    </row>
    <row r="22" spans="1:10" ht="13.5">
      <c r="A22" s="4" t="s">
        <v>752</v>
      </c>
      <c r="B22" s="55">
        <v>145.5</v>
      </c>
      <c r="C22" s="55">
        <v>-30.3</v>
      </c>
      <c r="D22" s="55" t="s">
        <v>736</v>
      </c>
      <c r="E22" s="55" t="s">
        <v>736</v>
      </c>
      <c r="F22" s="55">
        <v>1</v>
      </c>
      <c r="G22" s="55">
        <v>-38</v>
      </c>
      <c r="H22" s="4">
        <v>68.400000000000006</v>
      </c>
      <c r="J22" s="20" t="s">
        <v>351</v>
      </c>
    </row>
  </sheetData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8EAB97-8005-4F9B-BFF2-6C02A41D206F}">
  <dimension ref="A1:J28"/>
  <sheetViews>
    <sheetView workbookViewId="0">
      <selection activeCell="C1" sqref="C1:C1048576"/>
    </sheetView>
  </sheetViews>
  <sheetFormatPr defaultColWidth="8.81640625" defaultRowHeight="12.5"/>
  <cols>
    <col min="9" max="9" width="8.81640625" style="2"/>
    <col min="10" max="10" width="15.81640625" style="2" customWidth="1"/>
  </cols>
  <sheetData>
    <row r="1" spans="1:10" ht="13">
      <c r="A1" s="8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2" t="s">
        <v>9</v>
      </c>
      <c r="J1" s="2" t="s">
        <v>8</v>
      </c>
    </row>
    <row r="2" spans="1:10">
      <c r="A2" s="3" t="s">
        <v>648</v>
      </c>
      <c r="B2">
        <v>345.1</v>
      </c>
      <c r="C2">
        <v>32.1</v>
      </c>
      <c r="D2">
        <v>160.80000000000001</v>
      </c>
      <c r="E2">
        <v>5.3</v>
      </c>
      <c r="F2">
        <v>6</v>
      </c>
      <c r="G2" s="12">
        <v>42.8</v>
      </c>
      <c r="H2" s="12">
        <v>226.2</v>
      </c>
      <c r="I2" s="55"/>
      <c r="J2" s="1"/>
    </row>
    <row r="3" spans="1:10">
      <c r="A3" s="3" t="s">
        <v>792</v>
      </c>
      <c r="B3">
        <v>343.2</v>
      </c>
      <c r="C3">
        <v>35.4</v>
      </c>
      <c r="D3">
        <v>314</v>
      </c>
      <c r="E3">
        <v>3.8</v>
      </c>
      <c r="F3">
        <v>6</v>
      </c>
      <c r="G3" s="12">
        <v>44.7</v>
      </c>
      <c r="H3" s="12">
        <v>229.1</v>
      </c>
      <c r="I3" s="55"/>
      <c r="J3" s="1"/>
    </row>
    <row r="4" spans="1:10">
      <c r="A4" s="3" t="s">
        <v>649</v>
      </c>
      <c r="B4">
        <v>341.2</v>
      </c>
      <c r="C4">
        <v>39.6</v>
      </c>
      <c r="D4">
        <v>66.900000000000006</v>
      </c>
      <c r="E4">
        <v>8.3000000000000007</v>
      </c>
      <c r="F4">
        <v>6</v>
      </c>
      <c r="G4" s="12">
        <v>47.6</v>
      </c>
      <c r="H4" s="12">
        <v>232.9</v>
      </c>
      <c r="I4" s="55"/>
      <c r="J4" s="1"/>
    </row>
    <row r="5" spans="1:10">
      <c r="A5" s="3" t="s">
        <v>793</v>
      </c>
      <c r="B5">
        <v>343.9</v>
      </c>
      <c r="C5">
        <v>34.200000000000003</v>
      </c>
      <c r="D5">
        <v>84.8</v>
      </c>
      <c r="E5">
        <v>7.3</v>
      </c>
      <c r="F5">
        <v>6</v>
      </c>
      <c r="G5" s="12">
        <v>44.1</v>
      </c>
      <c r="H5" s="12">
        <v>227.6</v>
      </c>
      <c r="I5" s="55"/>
      <c r="J5" s="1"/>
    </row>
    <row r="6" spans="1:10">
      <c r="A6" s="3" t="s">
        <v>794</v>
      </c>
      <c r="B6">
        <v>341.7</v>
      </c>
      <c r="C6">
        <v>34.6</v>
      </c>
      <c r="D6">
        <v>124.6</v>
      </c>
      <c r="E6">
        <v>4.3</v>
      </c>
      <c r="F6">
        <v>10</v>
      </c>
      <c r="G6" s="12">
        <v>43.768490993053369</v>
      </c>
      <c r="H6" s="12">
        <v>230.8</v>
      </c>
      <c r="I6" s="55"/>
      <c r="J6" s="1"/>
    </row>
    <row r="7" spans="1:10" s="37" customFormat="1">
      <c r="A7" s="42">
        <v>7357</v>
      </c>
      <c r="B7" s="37">
        <v>345</v>
      </c>
      <c r="C7" s="37">
        <v>29</v>
      </c>
      <c r="D7" s="37">
        <v>652.9</v>
      </c>
      <c r="E7" s="37">
        <v>1.7</v>
      </c>
      <c r="F7" s="37">
        <v>12</v>
      </c>
      <c r="G7" s="39">
        <v>40.776861011307552</v>
      </c>
      <c r="H7" s="39">
        <v>225.7</v>
      </c>
      <c r="I7" s="55"/>
      <c r="J7" s="43"/>
    </row>
    <row r="8" spans="1:10" s="37" customFormat="1">
      <c r="A8" s="42">
        <v>7359</v>
      </c>
      <c r="B8" s="37">
        <v>340</v>
      </c>
      <c r="C8" s="37">
        <v>30</v>
      </c>
      <c r="D8" s="37">
        <v>7</v>
      </c>
      <c r="E8" s="37">
        <v>17.600000000000001</v>
      </c>
      <c r="F8" s="37">
        <v>12</v>
      </c>
      <c r="G8" s="39">
        <v>40.530640020998526</v>
      </c>
      <c r="H8" s="39">
        <v>232.11603815558357</v>
      </c>
      <c r="I8" s="38"/>
      <c r="J8" s="43"/>
    </row>
    <row r="9" spans="1:10" s="37" customFormat="1">
      <c r="A9" s="42">
        <v>7360</v>
      </c>
      <c r="B9" s="37">
        <v>338</v>
      </c>
      <c r="C9" s="37">
        <v>31</v>
      </c>
      <c r="D9" s="37">
        <v>217.9</v>
      </c>
      <c r="E9" s="37">
        <v>3.1</v>
      </c>
      <c r="F9" s="37">
        <v>11</v>
      </c>
      <c r="G9" s="39">
        <v>40.733745468183869</v>
      </c>
      <c r="H9" s="39">
        <v>234.7592261983693</v>
      </c>
      <c r="I9" s="38"/>
      <c r="J9" s="43"/>
    </row>
    <row r="10" spans="1:10">
      <c r="A10" s="3" t="s">
        <v>795</v>
      </c>
      <c r="B10">
        <v>322.89999999999998</v>
      </c>
      <c r="C10">
        <v>52.1</v>
      </c>
      <c r="D10">
        <v>150.4</v>
      </c>
      <c r="E10">
        <v>6.3</v>
      </c>
      <c r="F10">
        <v>5</v>
      </c>
      <c r="G10" s="12">
        <v>51.4</v>
      </c>
      <c r="H10" s="12">
        <v>258.8</v>
      </c>
      <c r="J10" s="1"/>
    </row>
    <row r="11" spans="1:10">
      <c r="A11" s="3" t="s">
        <v>674</v>
      </c>
      <c r="B11">
        <v>332.3</v>
      </c>
      <c r="C11">
        <v>46.9</v>
      </c>
      <c r="D11">
        <v>155.6</v>
      </c>
      <c r="E11">
        <v>6.2</v>
      </c>
      <c r="F11">
        <v>5</v>
      </c>
      <c r="G11" s="12">
        <v>50.1</v>
      </c>
      <c r="H11" s="12">
        <v>243.9</v>
      </c>
      <c r="J11" s="1"/>
    </row>
    <row r="12" spans="1:10">
      <c r="A12" s="3" t="s">
        <v>796</v>
      </c>
      <c r="B12">
        <v>343.5</v>
      </c>
      <c r="C12">
        <v>36.299999999999997</v>
      </c>
      <c r="D12">
        <v>132.5</v>
      </c>
      <c r="E12">
        <v>2.1</v>
      </c>
      <c r="F12">
        <v>5</v>
      </c>
      <c r="G12" s="12">
        <v>44.8</v>
      </c>
      <c r="H12" s="12">
        <v>226.51848690236824</v>
      </c>
      <c r="J12" s="1"/>
    </row>
    <row r="13" spans="1:10">
      <c r="A13" s="3" t="s">
        <v>797</v>
      </c>
      <c r="B13">
        <v>338.1</v>
      </c>
      <c r="C13">
        <v>35.6</v>
      </c>
      <c r="D13">
        <v>75.7</v>
      </c>
      <c r="E13">
        <v>7.7</v>
      </c>
      <c r="F13">
        <v>6</v>
      </c>
      <c r="G13" s="12">
        <v>43.4</v>
      </c>
      <c r="H13" s="12">
        <v>233.1</v>
      </c>
      <c r="J13" s="1"/>
    </row>
    <row r="14" spans="1:10">
      <c r="A14" s="3" t="s">
        <v>798</v>
      </c>
      <c r="B14">
        <v>324.10000000000002</v>
      </c>
      <c r="C14">
        <v>49.6</v>
      </c>
      <c r="D14">
        <v>250.6</v>
      </c>
      <c r="E14">
        <v>4.2</v>
      </c>
      <c r="F14">
        <v>6</v>
      </c>
      <c r="G14" s="12">
        <v>49.7</v>
      </c>
      <c r="H14" s="12">
        <v>255.69016139125273</v>
      </c>
      <c r="J14" s="1"/>
    </row>
    <row r="15" spans="1:10">
      <c r="A15" s="3" t="s">
        <v>799</v>
      </c>
      <c r="B15">
        <v>332.1</v>
      </c>
      <c r="C15">
        <v>63.4</v>
      </c>
      <c r="D15">
        <v>38.799999999999997</v>
      </c>
      <c r="E15">
        <v>10.9</v>
      </c>
      <c r="F15">
        <v>6</v>
      </c>
      <c r="G15" s="12">
        <v>67.2</v>
      </c>
      <c r="H15" s="12">
        <v>259.39999999999998</v>
      </c>
      <c r="J15" s="1"/>
    </row>
    <row r="16" spans="1:10" s="37" customFormat="1">
      <c r="A16" s="42" t="s">
        <v>800</v>
      </c>
      <c r="B16" s="37">
        <v>332.1</v>
      </c>
      <c r="C16" s="37">
        <v>30.7</v>
      </c>
      <c r="D16" s="37">
        <v>180.9</v>
      </c>
      <c r="E16" s="37">
        <v>4.5</v>
      </c>
      <c r="F16" s="37">
        <v>7</v>
      </c>
      <c r="G16" s="39">
        <v>38.818871742433799</v>
      </c>
      <c r="H16" s="39">
        <v>239.41163852875627</v>
      </c>
      <c r="I16" s="38"/>
      <c r="J16" s="43"/>
    </row>
    <row r="17" spans="1:10" s="37" customFormat="1">
      <c r="A17" s="42" t="s">
        <v>801</v>
      </c>
      <c r="B17" s="37">
        <v>334.5</v>
      </c>
      <c r="C17" s="37">
        <v>42.3</v>
      </c>
      <c r="D17" s="37">
        <v>142.5</v>
      </c>
      <c r="E17" s="37">
        <v>1.6</v>
      </c>
      <c r="F17" s="37">
        <v>7</v>
      </c>
      <c r="G17" s="39">
        <v>47.051335070784106</v>
      </c>
      <c r="H17" s="39">
        <v>239.37875929399587</v>
      </c>
      <c r="I17" s="38"/>
      <c r="J17" s="43"/>
    </row>
    <row r="18" spans="1:10" s="37" customFormat="1">
      <c r="A18" s="42" t="s">
        <v>802</v>
      </c>
      <c r="B18" s="37">
        <v>311.7</v>
      </c>
      <c r="C18" s="37">
        <v>50.8</v>
      </c>
      <c r="D18" s="37">
        <v>63.7</v>
      </c>
      <c r="E18" s="37">
        <v>6.5</v>
      </c>
      <c r="F18" s="37">
        <v>9</v>
      </c>
      <c r="G18" s="39">
        <v>45.912785609623249</v>
      </c>
      <c r="H18" s="39">
        <v>270.5</v>
      </c>
      <c r="I18" s="38"/>
      <c r="J18" s="43"/>
    </row>
    <row r="19" spans="1:10" s="37" customFormat="1">
      <c r="A19" s="42" t="s">
        <v>803</v>
      </c>
      <c r="B19" s="37">
        <v>325.7</v>
      </c>
      <c r="C19" s="37">
        <v>36.200000000000003</v>
      </c>
      <c r="D19" s="37">
        <v>153.30000000000001</v>
      </c>
      <c r="E19" s="37">
        <v>6.2</v>
      </c>
      <c r="F19" s="37">
        <v>5</v>
      </c>
      <c r="G19" s="39">
        <v>40.455942125611614</v>
      </c>
      <c r="H19" s="39">
        <v>248.3</v>
      </c>
      <c r="I19" s="38"/>
      <c r="J19" s="43"/>
    </row>
    <row r="20" spans="1:10" s="37" customFormat="1">
      <c r="A20" s="42" t="s">
        <v>804</v>
      </c>
      <c r="B20" s="37">
        <v>333.1</v>
      </c>
      <c r="C20" s="37">
        <v>34.299999999999997</v>
      </c>
      <c r="D20" s="37">
        <v>194.5</v>
      </c>
      <c r="E20" s="37">
        <v>5.5</v>
      </c>
      <c r="F20" s="37">
        <v>5</v>
      </c>
      <c r="G20" s="39">
        <v>41.270487282807956</v>
      </c>
      <c r="H20" s="39">
        <v>239</v>
      </c>
      <c r="I20" s="38"/>
      <c r="J20" s="43"/>
    </row>
    <row r="21" spans="1:10">
      <c r="A21" s="3" t="s">
        <v>805</v>
      </c>
      <c r="B21">
        <v>341.4</v>
      </c>
      <c r="C21">
        <v>43</v>
      </c>
      <c r="D21">
        <v>54.5</v>
      </c>
      <c r="E21">
        <v>9.1999999999999993</v>
      </c>
      <c r="F21">
        <v>6</v>
      </c>
      <c r="G21" s="12">
        <v>49.3</v>
      </c>
      <c r="H21" s="12">
        <v>231.2</v>
      </c>
      <c r="J21" s="1"/>
    </row>
    <row r="22" spans="1:10">
      <c r="A22" s="3" t="s">
        <v>806</v>
      </c>
      <c r="B22">
        <v>346.5</v>
      </c>
      <c r="C22">
        <v>34.9</v>
      </c>
      <c r="D22">
        <v>175.3</v>
      </c>
      <c r="E22">
        <v>5.0999999999999996</v>
      </c>
      <c r="F22">
        <v>6</v>
      </c>
      <c r="G22" s="12">
        <v>44.4</v>
      </c>
      <c r="H22" s="12">
        <v>222.4</v>
      </c>
      <c r="J22" s="1"/>
    </row>
    <row r="23" spans="1:10">
      <c r="A23" s="3" t="s">
        <v>807</v>
      </c>
      <c r="B23">
        <v>338.4</v>
      </c>
      <c r="C23">
        <v>43.4</v>
      </c>
      <c r="D23">
        <v>250.4</v>
      </c>
      <c r="E23">
        <v>4.2</v>
      </c>
      <c r="F23">
        <v>6</v>
      </c>
      <c r="G23" s="12">
        <v>48.8</v>
      </c>
      <c r="H23" s="12">
        <v>234.8</v>
      </c>
      <c r="J23" s="1"/>
    </row>
    <row r="24" spans="1:10">
      <c r="A24" s="3" t="s">
        <v>808</v>
      </c>
      <c r="B24">
        <v>326.5</v>
      </c>
      <c r="C24">
        <v>45.1</v>
      </c>
      <c r="D24">
        <v>57</v>
      </c>
      <c r="E24">
        <v>16.5</v>
      </c>
      <c r="F24">
        <v>3</v>
      </c>
      <c r="G24" s="12">
        <v>46.9</v>
      </c>
      <c r="H24" s="12">
        <v>251.6</v>
      </c>
      <c r="J24" s="1"/>
    </row>
    <row r="25" spans="1:10">
      <c r="A25" s="3" t="s">
        <v>809</v>
      </c>
      <c r="B25">
        <v>334.2</v>
      </c>
      <c r="C25">
        <v>50.3</v>
      </c>
      <c r="D25">
        <v>34.1</v>
      </c>
      <c r="E25">
        <v>13.3</v>
      </c>
      <c r="F25">
        <v>5</v>
      </c>
      <c r="G25" s="12">
        <v>54.6</v>
      </c>
      <c r="H25" s="12">
        <v>244.2</v>
      </c>
      <c r="J25" s="1"/>
    </row>
    <row r="26" spans="1:10">
      <c r="A26" s="3" t="s">
        <v>682</v>
      </c>
      <c r="B26">
        <v>331.9</v>
      </c>
      <c r="C26">
        <v>48.1</v>
      </c>
      <c r="D26">
        <v>68.5</v>
      </c>
      <c r="E26">
        <v>15</v>
      </c>
      <c r="F26">
        <v>3</v>
      </c>
      <c r="G26" s="12">
        <v>50.9</v>
      </c>
      <c r="H26" s="12">
        <v>245.9</v>
      </c>
      <c r="J26" s="1"/>
    </row>
    <row r="27" spans="1:10">
      <c r="A27" s="3" t="s">
        <v>683</v>
      </c>
      <c r="B27">
        <v>337.5</v>
      </c>
      <c r="C27">
        <v>45.7</v>
      </c>
      <c r="D27">
        <v>105.9</v>
      </c>
      <c r="E27">
        <v>9</v>
      </c>
      <c r="F27">
        <v>4</v>
      </c>
      <c r="G27" s="12">
        <v>50.5</v>
      </c>
      <c r="H27" s="12">
        <v>236.6</v>
      </c>
      <c r="J27" s="1"/>
    </row>
    <row r="28" spans="1:10">
      <c r="A28" s="3" t="s">
        <v>675</v>
      </c>
      <c r="B28">
        <v>351.2</v>
      </c>
      <c r="C28">
        <v>36.6</v>
      </c>
      <c r="D28">
        <v>42</v>
      </c>
      <c r="E28">
        <v>14.3</v>
      </c>
      <c r="F28">
        <v>4</v>
      </c>
      <c r="G28" s="12">
        <v>46</v>
      </c>
      <c r="H28" s="12">
        <v>216.8</v>
      </c>
      <c r="J28" s="1"/>
    </row>
  </sheetData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7DFD23-94C4-4C9A-8F14-749630B2E729}">
  <dimension ref="A1:J11"/>
  <sheetViews>
    <sheetView workbookViewId="0">
      <selection sqref="A1:A1048576"/>
    </sheetView>
  </sheetViews>
  <sheetFormatPr defaultColWidth="8.81640625" defaultRowHeight="12.5"/>
  <cols>
    <col min="1" max="9" width="8.81640625" style="4"/>
    <col min="10" max="10" width="15.81640625" style="4" customWidth="1"/>
    <col min="11" max="16384" width="8.81640625" style="4"/>
  </cols>
  <sheetData>
    <row r="1" spans="1:10">
      <c r="A1" s="62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1" t="s">
        <v>7</v>
      </c>
      <c r="I1" s="4" t="s">
        <v>9</v>
      </c>
      <c r="J1" s="1" t="s">
        <v>8</v>
      </c>
    </row>
    <row r="2" spans="1:10" ht="13.5">
      <c r="A2" s="4">
        <v>2</v>
      </c>
      <c r="B2" s="4">
        <v>60.8</v>
      </c>
      <c r="C2" s="4">
        <v>73.099999999999994</v>
      </c>
      <c r="D2" s="4">
        <v>32.700000000000003</v>
      </c>
      <c r="E2" s="4">
        <v>6</v>
      </c>
      <c r="F2" s="4">
        <v>19</v>
      </c>
      <c r="G2" s="21">
        <v>60.8</v>
      </c>
      <c r="H2" s="21">
        <v>104.4</v>
      </c>
      <c r="I2" s="13"/>
      <c r="J2" s="13"/>
    </row>
    <row r="3" spans="1:10" ht="13.5">
      <c r="A3" s="4">
        <v>3</v>
      </c>
      <c r="B3" s="4">
        <v>97.3</v>
      </c>
      <c r="C3" s="4">
        <v>70.5</v>
      </c>
      <c r="D3" s="4">
        <v>52.3</v>
      </c>
      <c r="E3" s="4">
        <v>5.3</v>
      </c>
      <c r="F3" s="4">
        <v>15</v>
      </c>
      <c r="G3" s="21">
        <v>43.5</v>
      </c>
      <c r="H3" s="21">
        <v>88.1</v>
      </c>
      <c r="I3" s="13"/>
      <c r="J3" s="13"/>
    </row>
    <row r="4" spans="1:10" ht="13.5">
      <c r="A4" s="4">
        <v>4</v>
      </c>
      <c r="B4" s="4">
        <v>75.3</v>
      </c>
      <c r="C4" s="4">
        <v>65.599999999999994</v>
      </c>
      <c r="D4" s="4">
        <v>18.600000000000001</v>
      </c>
      <c r="E4" s="4">
        <v>3.6</v>
      </c>
      <c r="F4" s="4">
        <v>89</v>
      </c>
      <c r="G4" s="21">
        <v>47.2</v>
      </c>
      <c r="H4" s="21">
        <v>108.7</v>
      </c>
      <c r="I4" s="13"/>
      <c r="J4" s="13"/>
    </row>
    <row r="5" spans="1:10" ht="13.5">
      <c r="A5" s="4">
        <v>7</v>
      </c>
      <c r="B5" s="4">
        <v>83</v>
      </c>
      <c r="C5" s="4">
        <v>60.4</v>
      </c>
      <c r="D5" s="4">
        <v>21.2</v>
      </c>
      <c r="E5" s="4">
        <v>5</v>
      </c>
      <c r="F5" s="4">
        <v>40</v>
      </c>
      <c r="G5" s="21">
        <v>38.700000000000003</v>
      </c>
      <c r="H5" s="21">
        <v>108.6</v>
      </c>
      <c r="I5" s="13"/>
      <c r="J5" s="13"/>
    </row>
    <row r="6" spans="1:10" ht="13.5">
      <c r="A6" s="4">
        <v>10</v>
      </c>
      <c r="B6" s="4">
        <v>75.599999999999994</v>
      </c>
      <c r="C6" s="4">
        <v>64.2</v>
      </c>
      <c r="D6" s="4">
        <v>45.7</v>
      </c>
      <c r="E6" s="4">
        <v>7.7</v>
      </c>
      <c r="F6" s="4">
        <v>9</v>
      </c>
      <c r="G6" s="21">
        <v>45.7</v>
      </c>
      <c r="H6" s="21">
        <v>110.3</v>
      </c>
      <c r="I6" s="13"/>
      <c r="J6" s="13"/>
    </row>
    <row r="7" spans="1:10" ht="13.5">
      <c r="A7" s="4">
        <v>11</v>
      </c>
      <c r="B7" s="4">
        <v>80.8</v>
      </c>
      <c r="C7" s="4">
        <v>61.1</v>
      </c>
      <c r="D7" s="4">
        <v>36.9</v>
      </c>
      <c r="E7" s="4">
        <v>8.1</v>
      </c>
      <c r="F7" s="4">
        <v>10</v>
      </c>
      <c r="G7" s="21">
        <v>40.4</v>
      </c>
      <c r="H7" s="21">
        <v>109.6</v>
      </c>
      <c r="I7" s="13"/>
      <c r="J7" s="13"/>
    </row>
    <row r="8" spans="1:10" ht="13.5">
      <c r="A8" s="4">
        <v>13</v>
      </c>
      <c r="B8" s="4">
        <v>89.8</v>
      </c>
      <c r="C8" s="4">
        <v>60.1</v>
      </c>
      <c r="D8" s="4">
        <v>23.1</v>
      </c>
      <c r="E8" s="4">
        <v>10.3</v>
      </c>
      <c r="F8" s="4">
        <v>10</v>
      </c>
      <c r="G8" s="21">
        <v>35.5</v>
      </c>
      <c r="H8" s="21">
        <v>103.4</v>
      </c>
      <c r="I8" s="13"/>
      <c r="J8" s="13"/>
    </row>
    <row r="9" spans="1:10" ht="13.5">
      <c r="A9" s="4">
        <v>14</v>
      </c>
      <c r="B9" s="4">
        <v>89.5</v>
      </c>
      <c r="C9" s="4">
        <v>63.5</v>
      </c>
      <c r="D9" s="4">
        <v>20.399999999999999</v>
      </c>
      <c r="E9" s="4">
        <v>10.4</v>
      </c>
      <c r="F9" s="4">
        <v>11</v>
      </c>
      <c r="G9" s="21">
        <v>38.9</v>
      </c>
      <c r="H9" s="21">
        <v>100.9</v>
      </c>
      <c r="I9" s="13"/>
      <c r="J9" s="13"/>
    </row>
    <row r="10" spans="1:10" ht="13.5">
      <c r="A10" s="4">
        <v>15</v>
      </c>
      <c r="B10" s="4">
        <v>76.8</v>
      </c>
      <c r="C10" s="4">
        <v>73.3</v>
      </c>
      <c r="D10" s="4">
        <v>50.9</v>
      </c>
      <c r="E10" s="4">
        <v>7.3</v>
      </c>
      <c r="F10" s="4">
        <v>9</v>
      </c>
      <c r="G10" s="21">
        <v>54.3</v>
      </c>
      <c r="H10" s="21">
        <v>95</v>
      </c>
      <c r="I10" s="13"/>
      <c r="J10" s="13"/>
    </row>
    <row r="11" spans="1:10" ht="13.5">
      <c r="A11" s="4">
        <v>18</v>
      </c>
      <c r="B11" s="4">
        <v>103.9</v>
      </c>
      <c r="C11" s="4">
        <v>66.099999999999994</v>
      </c>
      <c r="D11" s="4">
        <v>30.3</v>
      </c>
      <c r="E11" s="4">
        <v>6.2</v>
      </c>
      <c r="F11" s="4">
        <v>19</v>
      </c>
      <c r="G11" s="21">
        <v>36.1</v>
      </c>
      <c r="H11" s="21">
        <v>86.5</v>
      </c>
      <c r="I11" s="13"/>
      <c r="J11" s="13"/>
    </row>
  </sheetData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71BE46-3D9F-4919-BA34-16315B3EE88B}">
  <dimension ref="A1:J16"/>
  <sheetViews>
    <sheetView workbookViewId="0">
      <selection sqref="A1:A1048576"/>
    </sheetView>
  </sheetViews>
  <sheetFormatPr defaultRowHeight="12.5"/>
  <cols>
    <col min="10" max="10" width="15.81640625" customWidth="1"/>
  </cols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9</v>
      </c>
      <c r="J1" t="s">
        <v>8</v>
      </c>
    </row>
    <row r="2" spans="1:10">
      <c r="A2" t="s">
        <v>820</v>
      </c>
      <c r="B2">
        <v>121.6</v>
      </c>
      <c r="C2">
        <v>54.4</v>
      </c>
      <c r="D2">
        <v>19.2</v>
      </c>
      <c r="E2">
        <v>15.7</v>
      </c>
      <c r="F2">
        <v>6</v>
      </c>
      <c r="G2">
        <v>18.600000000000001</v>
      </c>
      <c r="H2">
        <v>75.400000000000006</v>
      </c>
      <c r="J2" t="s">
        <v>351</v>
      </c>
    </row>
    <row r="3" spans="1:10">
      <c r="A3" t="s">
        <v>821</v>
      </c>
      <c r="B3">
        <v>137.19999999999999</v>
      </c>
      <c r="C3">
        <v>25</v>
      </c>
      <c r="D3">
        <v>66.2</v>
      </c>
      <c r="E3">
        <v>11.4</v>
      </c>
      <c r="F3">
        <v>4</v>
      </c>
      <c r="G3">
        <v>-6.7</v>
      </c>
      <c r="H3">
        <v>69.7</v>
      </c>
      <c r="J3" t="s">
        <v>351</v>
      </c>
    </row>
    <row r="4" spans="1:10">
      <c r="A4" t="s">
        <v>822</v>
      </c>
      <c r="B4">
        <v>98.7</v>
      </c>
      <c r="C4">
        <v>48.6</v>
      </c>
      <c r="D4">
        <v>45.1</v>
      </c>
      <c r="E4">
        <v>18.600000000000001</v>
      </c>
      <c r="F4">
        <v>3</v>
      </c>
      <c r="G4">
        <v>22.5</v>
      </c>
      <c r="H4">
        <v>96.4</v>
      </c>
      <c r="J4" t="s">
        <v>351</v>
      </c>
    </row>
    <row r="5" spans="1:10">
      <c r="A5" t="s">
        <v>823</v>
      </c>
      <c r="B5">
        <v>320.3</v>
      </c>
      <c r="C5">
        <v>-64.8</v>
      </c>
      <c r="D5">
        <v>12.9</v>
      </c>
      <c r="E5">
        <v>19.399999999999999</v>
      </c>
      <c r="F5">
        <v>6</v>
      </c>
      <c r="G5">
        <v>-24.5</v>
      </c>
      <c r="H5">
        <v>236.7</v>
      </c>
      <c r="J5" t="s">
        <v>351</v>
      </c>
    </row>
    <row r="6" spans="1:10">
      <c r="A6" t="s">
        <v>824</v>
      </c>
      <c r="B6">
        <v>115.4</v>
      </c>
      <c r="C6">
        <v>38.299999999999997</v>
      </c>
      <c r="D6">
        <v>21.1</v>
      </c>
      <c r="E6">
        <v>12.3</v>
      </c>
      <c r="F6">
        <v>8</v>
      </c>
      <c r="G6">
        <v>8.6</v>
      </c>
      <c r="H6">
        <v>86.1</v>
      </c>
      <c r="J6" t="s">
        <v>351</v>
      </c>
    </row>
    <row r="7" spans="1:10">
      <c r="A7" t="s">
        <v>825</v>
      </c>
      <c r="B7">
        <v>107.2</v>
      </c>
      <c r="C7">
        <v>46.3</v>
      </c>
      <c r="D7">
        <v>13.9</v>
      </c>
      <c r="E7">
        <v>16.8</v>
      </c>
      <c r="F7">
        <v>7</v>
      </c>
      <c r="G7">
        <v>17.3</v>
      </c>
      <c r="H7">
        <v>90.3</v>
      </c>
      <c r="J7" t="s">
        <v>351</v>
      </c>
    </row>
    <row r="8" spans="1:10">
      <c r="A8" t="s">
        <v>826</v>
      </c>
      <c r="B8">
        <v>96.6</v>
      </c>
      <c r="C8">
        <v>39.9</v>
      </c>
      <c r="D8">
        <v>11.6</v>
      </c>
      <c r="E8">
        <v>18.5</v>
      </c>
      <c r="F8">
        <v>7</v>
      </c>
      <c r="G8">
        <v>17.3</v>
      </c>
      <c r="H8">
        <v>101.6</v>
      </c>
      <c r="J8" t="s">
        <v>351</v>
      </c>
    </row>
    <row r="9" spans="1:10">
      <c r="A9" t="s">
        <v>827</v>
      </c>
      <c r="B9">
        <v>101.8</v>
      </c>
      <c r="C9">
        <v>38.4</v>
      </c>
      <c r="D9">
        <v>18.3</v>
      </c>
      <c r="E9">
        <v>18.399999999999999</v>
      </c>
      <c r="F9">
        <v>5</v>
      </c>
      <c r="G9">
        <v>14.1</v>
      </c>
      <c r="H9">
        <v>97.7</v>
      </c>
      <c r="J9" t="s">
        <v>351</v>
      </c>
    </row>
    <row r="10" spans="1:10">
      <c r="A10" t="s">
        <v>828</v>
      </c>
      <c r="B10">
        <v>106.5</v>
      </c>
      <c r="C10">
        <v>54.7</v>
      </c>
      <c r="D10">
        <v>19.7</v>
      </c>
      <c r="E10">
        <v>11.2</v>
      </c>
      <c r="F10">
        <v>10</v>
      </c>
      <c r="G10">
        <v>24.4</v>
      </c>
      <c r="H10">
        <v>87.2</v>
      </c>
      <c r="J10" t="s">
        <v>351</v>
      </c>
    </row>
    <row r="11" spans="1:10">
      <c r="A11" t="s">
        <v>829</v>
      </c>
      <c r="B11">
        <v>133.80000000000001</v>
      </c>
      <c r="C11">
        <v>51.1</v>
      </c>
      <c r="D11" t="s">
        <v>736</v>
      </c>
      <c r="E11">
        <v>22.8</v>
      </c>
      <c r="F11">
        <v>4</v>
      </c>
      <c r="G11">
        <v>12.1</v>
      </c>
      <c r="H11">
        <v>66.8</v>
      </c>
      <c r="J11" t="s">
        <v>351</v>
      </c>
    </row>
    <row r="12" spans="1:10">
      <c r="A12" t="s">
        <v>830</v>
      </c>
      <c r="B12">
        <v>111.9</v>
      </c>
      <c r="C12">
        <v>65.3</v>
      </c>
      <c r="D12" t="s">
        <v>736</v>
      </c>
      <c r="E12">
        <v>4.3</v>
      </c>
      <c r="F12">
        <v>3</v>
      </c>
      <c r="G12">
        <v>33.1</v>
      </c>
      <c r="H12">
        <v>76.5</v>
      </c>
      <c r="J12" t="s">
        <v>351</v>
      </c>
    </row>
    <row r="13" spans="1:10">
      <c r="J13" t="s">
        <v>351</v>
      </c>
    </row>
    <row r="14" spans="1:10">
      <c r="A14" t="s">
        <v>831</v>
      </c>
      <c r="B14">
        <v>121.7</v>
      </c>
      <c r="C14">
        <v>49.1</v>
      </c>
      <c r="F14">
        <v>5</v>
      </c>
      <c r="G14">
        <v>-14.5</v>
      </c>
      <c r="H14">
        <v>257.3</v>
      </c>
      <c r="J14" t="s">
        <v>351</v>
      </c>
    </row>
    <row r="15" spans="1:10">
      <c r="A15" t="s">
        <v>832</v>
      </c>
      <c r="B15">
        <v>102.1</v>
      </c>
      <c r="C15">
        <v>41.5</v>
      </c>
      <c r="F15">
        <v>3</v>
      </c>
      <c r="G15">
        <v>-16.3</v>
      </c>
      <c r="H15">
        <v>276.39999999999998</v>
      </c>
      <c r="J15" t="s">
        <v>351</v>
      </c>
    </row>
    <row r="16" spans="1:10">
      <c r="A16" t="s">
        <v>833</v>
      </c>
      <c r="B16">
        <v>117.8</v>
      </c>
      <c r="C16">
        <v>58.1</v>
      </c>
      <c r="F16">
        <v>3</v>
      </c>
      <c r="G16">
        <v>-23.9</v>
      </c>
      <c r="H16">
        <v>256.60000000000002</v>
      </c>
      <c r="J16" t="s">
        <v>351</v>
      </c>
    </row>
  </sheetData>
  <pageMargins left="0.7" right="0.7" top="0.75" bottom="0.75" header="0.3" footer="0.3"/>
  <pageSetup orientation="portrait" r:id="rId1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EED3BC-5BC9-475A-8D2A-35666174F7EA}">
  <dimension ref="A1:J1"/>
  <sheetViews>
    <sheetView workbookViewId="0">
      <selection sqref="A1:A1048576"/>
    </sheetView>
  </sheetViews>
  <sheetFormatPr defaultColWidth="8.81640625" defaultRowHeight="12.5"/>
  <cols>
    <col min="1" max="9" width="8.81640625" style="4"/>
    <col min="10" max="10" width="15.81640625" style="4" customWidth="1"/>
    <col min="11" max="16384" width="8.81640625" style="4"/>
  </cols>
  <sheetData>
    <row r="1" spans="1:10">
      <c r="A1" s="62" t="s">
        <v>0</v>
      </c>
      <c r="B1" s="56" t="s">
        <v>1</v>
      </c>
      <c r="C1" s="56" t="s">
        <v>2</v>
      </c>
      <c r="D1" s="56" t="s">
        <v>3</v>
      </c>
      <c r="E1" s="56" t="s">
        <v>4</v>
      </c>
      <c r="F1" s="56" t="s">
        <v>5</v>
      </c>
      <c r="G1" s="56" t="s">
        <v>6</v>
      </c>
      <c r="H1" s="56" t="s">
        <v>7</v>
      </c>
      <c r="I1" s="4" t="s">
        <v>9</v>
      </c>
      <c r="J1" s="4" t="s">
        <v>8</v>
      </c>
    </row>
  </sheetData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90D7DD-B27C-48C7-8C7C-776ECFEB48C0}">
  <dimension ref="A1:J9"/>
  <sheetViews>
    <sheetView workbookViewId="0">
      <selection sqref="A1:A1048576"/>
    </sheetView>
  </sheetViews>
  <sheetFormatPr defaultColWidth="8.81640625" defaultRowHeight="12.5"/>
  <cols>
    <col min="1" max="9" width="8.81640625" style="4"/>
    <col min="10" max="10" width="15.81640625" style="4" customWidth="1"/>
    <col min="11" max="16384" width="8.81640625" style="4"/>
  </cols>
  <sheetData>
    <row r="1" spans="1:10">
      <c r="A1" s="62" t="s">
        <v>0</v>
      </c>
      <c r="B1" s="56" t="s">
        <v>1</v>
      </c>
      <c r="C1" s="56" t="s">
        <v>2</v>
      </c>
      <c r="D1" s="56" t="s">
        <v>3</v>
      </c>
      <c r="E1" s="56" t="s">
        <v>4</v>
      </c>
      <c r="F1" s="56" t="s">
        <v>5</v>
      </c>
      <c r="G1" s="56" t="s">
        <v>6</v>
      </c>
      <c r="H1" s="56" t="s">
        <v>7</v>
      </c>
      <c r="I1" s="4" t="s">
        <v>9</v>
      </c>
      <c r="J1" s="1" t="s">
        <v>8</v>
      </c>
    </row>
    <row r="2" spans="1:10">
      <c r="A2" s="4" t="s">
        <v>834</v>
      </c>
      <c r="B2" s="21">
        <v>132.45878945470815</v>
      </c>
      <c r="C2" s="21">
        <v>51.562157253816295</v>
      </c>
      <c r="D2" s="4">
        <v>34.1</v>
      </c>
      <c r="E2" s="4">
        <v>8.4</v>
      </c>
      <c r="F2" s="4">
        <v>10</v>
      </c>
      <c r="G2" s="21">
        <v>-14.900000000000006</v>
      </c>
      <c r="H2" s="21">
        <v>250.80000000000004</v>
      </c>
    </row>
    <row r="3" spans="1:10">
      <c r="A3" s="4" t="s">
        <v>835</v>
      </c>
      <c r="B3" s="21">
        <v>123.93360016684863</v>
      </c>
      <c r="C3" s="21">
        <v>50.091687424604345</v>
      </c>
      <c r="D3" s="4">
        <v>59.5</v>
      </c>
      <c r="E3" s="4">
        <v>5.3</v>
      </c>
      <c r="F3" s="4">
        <v>15</v>
      </c>
      <c r="G3" s="21">
        <v>-8.9999999999999574</v>
      </c>
      <c r="H3" s="21">
        <v>256.69999999999993</v>
      </c>
    </row>
    <row r="4" spans="1:10">
      <c r="A4" s="4" t="s">
        <v>836</v>
      </c>
      <c r="B4" s="21">
        <v>144.64047777161869</v>
      </c>
      <c r="C4" s="21">
        <v>50.097854343523366</v>
      </c>
      <c r="D4" s="4">
        <v>17.48</v>
      </c>
      <c r="E4" s="4">
        <v>8.6</v>
      </c>
      <c r="F4" s="4">
        <v>16</v>
      </c>
      <c r="G4" s="21">
        <v>-11.40000000000002</v>
      </c>
      <c r="H4" s="21">
        <v>241.00000000000003</v>
      </c>
    </row>
    <row r="5" spans="1:10">
      <c r="A5" s="4" t="s">
        <v>837</v>
      </c>
      <c r="B5" s="21">
        <v>110.44572787835568</v>
      </c>
      <c r="C5" s="21">
        <v>50.221179559793903</v>
      </c>
      <c r="D5" s="4">
        <v>20.309999999999999</v>
      </c>
      <c r="E5" s="4">
        <v>7.9</v>
      </c>
      <c r="F5" s="4">
        <v>18</v>
      </c>
      <c r="G5" s="21">
        <v>-20.500000000000014</v>
      </c>
      <c r="H5" s="21">
        <v>269.60000000000002</v>
      </c>
    </row>
    <row r="6" spans="1:10">
      <c r="A6" s="4" t="s">
        <v>838</v>
      </c>
      <c r="B6" s="21">
        <v>117.11527763735813</v>
      </c>
      <c r="C6" s="21">
        <v>61.51608949482371</v>
      </c>
      <c r="D6" s="4">
        <v>8.5500000000000007</v>
      </c>
      <c r="E6" s="4">
        <v>12.5</v>
      </c>
      <c r="F6" s="4">
        <v>21</v>
      </c>
      <c r="G6" s="21">
        <v>-28.999999999999972</v>
      </c>
      <c r="H6" s="21">
        <v>259</v>
      </c>
    </row>
    <row r="7" spans="1:10">
      <c r="A7" s="4" t="s">
        <v>839</v>
      </c>
      <c r="B7" s="21">
        <v>120.83594035866827</v>
      </c>
      <c r="C7" s="21">
        <v>48.868056554207428</v>
      </c>
      <c r="D7" s="4">
        <v>30.6</v>
      </c>
      <c r="E7" s="4">
        <v>6.9</v>
      </c>
      <c r="F7" s="4">
        <v>20</v>
      </c>
      <c r="G7" s="21">
        <v>-15.999999999999986</v>
      </c>
      <c r="H7" s="29">
        <v>261.59999999999997</v>
      </c>
    </row>
    <row r="8" spans="1:10">
      <c r="A8" s="4" t="s">
        <v>840</v>
      </c>
      <c r="B8" s="21">
        <v>136.86014787855595</v>
      </c>
      <c r="C8" s="21">
        <v>50.990057215754518</v>
      </c>
      <c r="D8" s="4">
        <v>13.7</v>
      </c>
      <c r="E8" s="4">
        <v>8.1</v>
      </c>
      <c r="F8" s="4">
        <v>15</v>
      </c>
      <c r="G8" s="21">
        <v>-13.300000000000011</v>
      </c>
      <c r="H8" s="21">
        <v>247.20000000000002</v>
      </c>
    </row>
    <row r="9" spans="1:10">
      <c r="A9" s="4" t="s">
        <v>841</v>
      </c>
      <c r="B9" s="21">
        <v>138.69999999999999</v>
      </c>
      <c r="C9" s="21">
        <v>55.6</v>
      </c>
      <c r="D9" s="4">
        <v>11.6</v>
      </c>
      <c r="E9" s="4">
        <v>10</v>
      </c>
      <c r="F9" s="4">
        <v>17</v>
      </c>
      <c r="G9" s="21">
        <v>-17.142165065982113</v>
      </c>
      <c r="H9" s="21">
        <v>244.50346228481942</v>
      </c>
    </row>
  </sheetData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4092C8-11FD-4F77-A9BD-6BC3F0C10F3F}">
  <dimension ref="A1:J12"/>
  <sheetViews>
    <sheetView workbookViewId="0">
      <selection sqref="A1:A1048576"/>
    </sheetView>
  </sheetViews>
  <sheetFormatPr defaultColWidth="8.81640625" defaultRowHeight="12.5"/>
  <cols>
    <col min="1" max="9" width="8.81640625" style="4"/>
    <col min="10" max="10" width="15.81640625" style="4" customWidth="1"/>
    <col min="11" max="16384" width="8.81640625" style="4"/>
  </cols>
  <sheetData>
    <row r="1" spans="1:10">
      <c r="A1" s="62" t="s">
        <v>0</v>
      </c>
      <c r="B1" s="56" t="s">
        <v>1</v>
      </c>
      <c r="C1" s="56" t="s">
        <v>2</v>
      </c>
      <c r="D1" s="56" t="s">
        <v>3</v>
      </c>
      <c r="E1" s="56" t="s">
        <v>4</v>
      </c>
      <c r="F1" s="56" t="s">
        <v>5</v>
      </c>
      <c r="G1" s="56" t="s">
        <v>6</v>
      </c>
      <c r="H1" s="56" t="s">
        <v>7</v>
      </c>
      <c r="I1" s="4" t="s">
        <v>9</v>
      </c>
      <c r="J1" s="4" t="s">
        <v>8</v>
      </c>
    </row>
    <row r="2" spans="1:10">
      <c r="A2" s="4" t="s">
        <v>842</v>
      </c>
      <c r="B2" s="4">
        <v>106.8</v>
      </c>
      <c r="C2" s="4">
        <v>53.8</v>
      </c>
      <c r="D2" s="4">
        <v>168</v>
      </c>
      <c r="E2" s="4">
        <v>4</v>
      </c>
      <c r="F2" s="4">
        <v>9</v>
      </c>
      <c r="G2" s="21">
        <v>-24.5</v>
      </c>
      <c r="H2" s="21">
        <v>270.5</v>
      </c>
      <c r="J2" s="4" t="s">
        <v>351</v>
      </c>
    </row>
    <row r="3" spans="1:10">
      <c r="A3" s="4" t="s">
        <v>843</v>
      </c>
      <c r="B3" s="4">
        <v>93.7</v>
      </c>
      <c r="C3" s="4">
        <v>54.2</v>
      </c>
      <c r="D3" s="4">
        <v>381</v>
      </c>
      <c r="E3" s="4">
        <v>15.2</v>
      </c>
      <c r="F3" s="4">
        <v>4</v>
      </c>
      <c r="G3" s="21">
        <v>-29.9</v>
      </c>
      <c r="H3" s="21">
        <v>281.2</v>
      </c>
      <c r="J3" s="4" t="s">
        <v>351</v>
      </c>
    </row>
    <row r="4" spans="1:10">
      <c r="A4" s="4" t="s">
        <v>844</v>
      </c>
      <c r="B4" s="4">
        <v>112.4</v>
      </c>
      <c r="C4" s="4">
        <v>43.7</v>
      </c>
      <c r="D4" s="4">
        <v>62</v>
      </c>
      <c r="E4" s="4">
        <v>7.1</v>
      </c>
      <c r="F4" s="4">
        <v>9</v>
      </c>
      <c r="G4" s="21">
        <v>-14.8</v>
      </c>
      <c r="H4" s="21">
        <v>270.3</v>
      </c>
      <c r="J4" s="4" t="s">
        <v>351</v>
      </c>
    </row>
    <row r="5" spans="1:10">
      <c r="A5" s="4" t="s">
        <v>845</v>
      </c>
      <c r="B5" s="4">
        <v>116.2</v>
      </c>
      <c r="C5" s="4">
        <v>40.9</v>
      </c>
      <c r="D5" s="4">
        <v>87</v>
      </c>
      <c r="E5" s="4">
        <v>9.9</v>
      </c>
      <c r="F5" s="4">
        <v>4</v>
      </c>
      <c r="G5" s="21">
        <v>-11.5</v>
      </c>
      <c r="H5" s="21">
        <v>268.10000000000002</v>
      </c>
      <c r="J5" s="4" t="s">
        <v>351</v>
      </c>
    </row>
    <row r="6" spans="1:10">
      <c r="A6" s="4" t="s">
        <v>846</v>
      </c>
      <c r="B6" s="4">
        <v>113.1</v>
      </c>
      <c r="C6" s="4">
        <v>47.7</v>
      </c>
      <c r="D6" s="4">
        <v>60</v>
      </c>
      <c r="E6" s="4">
        <v>8.6999999999999993</v>
      </c>
      <c r="F6" s="4">
        <v>16</v>
      </c>
      <c r="G6" s="21">
        <v>-17.5</v>
      </c>
      <c r="H6" s="21">
        <v>268.60000000000002</v>
      </c>
      <c r="J6" s="4" t="s">
        <v>351</v>
      </c>
    </row>
    <row r="7" spans="1:10">
      <c r="A7" s="4" t="s">
        <v>847</v>
      </c>
      <c r="B7" s="4">
        <v>108.3</v>
      </c>
      <c r="C7" s="4">
        <v>36.799999999999997</v>
      </c>
      <c r="D7" s="4">
        <v>54</v>
      </c>
      <c r="E7" s="4">
        <v>10.5</v>
      </c>
      <c r="F7" s="4">
        <v>5</v>
      </c>
      <c r="G7" s="21">
        <v>-11.8</v>
      </c>
      <c r="H7" s="21">
        <v>276.39999999999998</v>
      </c>
      <c r="J7" s="4" t="s">
        <v>351</v>
      </c>
    </row>
    <row r="8" spans="1:10">
      <c r="A8" s="4" t="s">
        <v>848</v>
      </c>
      <c r="B8" s="4">
        <v>84.7</v>
      </c>
      <c r="C8" s="4">
        <v>39.200000000000003</v>
      </c>
      <c r="D8" s="4">
        <v>57</v>
      </c>
      <c r="E8" s="4">
        <v>10.199999999999999</v>
      </c>
      <c r="F8" s="4">
        <v>5</v>
      </c>
      <c r="G8" s="21">
        <v>-22.3</v>
      </c>
      <c r="H8" s="21">
        <v>296.3</v>
      </c>
      <c r="J8" s="4" t="s">
        <v>351</v>
      </c>
    </row>
    <row r="9" spans="1:10">
      <c r="A9" s="4" t="s">
        <v>849</v>
      </c>
      <c r="B9" s="4">
        <v>100.7</v>
      </c>
      <c r="C9" s="4">
        <v>35.5</v>
      </c>
      <c r="D9" s="4">
        <v>24</v>
      </c>
      <c r="E9" s="4">
        <v>16</v>
      </c>
      <c r="F9" s="4">
        <v>5</v>
      </c>
      <c r="G9" s="21">
        <v>-13.7</v>
      </c>
      <c r="H9" s="21">
        <v>283.3</v>
      </c>
      <c r="J9" s="4" t="s">
        <v>351</v>
      </c>
    </row>
    <row r="10" spans="1:10">
      <c r="A10" s="4" t="s">
        <v>850</v>
      </c>
      <c r="B10" s="4">
        <v>97.9</v>
      </c>
      <c r="C10" s="4">
        <v>51.8</v>
      </c>
      <c r="D10" s="4">
        <v>28</v>
      </c>
      <c r="E10" s="4">
        <v>11.7</v>
      </c>
      <c r="F10" s="4">
        <v>7</v>
      </c>
      <c r="G10" s="21">
        <v>-26.3</v>
      </c>
      <c r="H10" s="21">
        <v>279.89999999999998</v>
      </c>
      <c r="J10" s="4" t="s">
        <v>351</v>
      </c>
    </row>
    <row r="11" spans="1:10">
      <c r="A11" s="4" t="s">
        <v>851</v>
      </c>
      <c r="B11" s="4">
        <v>89.3</v>
      </c>
      <c r="C11" s="4">
        <v>47</v>
      </c>
      <c r="D11" s="4">
        <v>35</v>
      </c>
      <c r="E11" s="4">
        <v>21.1</v>
      </c>
      <c r="F11" s="4">
        <v>3</v>
      </c>
      <c r="G11" s="21">
        <v>-25.9</v>
      </c>
      <c r="H11" s="21">
        <v>289.3</v>
      </c>
      <c r="J11" s="4" t="s">
        <v>351</v>
      </c>
    </row>
    <row r="12" spans="1:10">
      <c r="A12" s="4" t="s">
        <v>852</v>
      </c>
      <c r="B12" s="4">
        <v>99.1</v>
      </c>
      <c r="C12" s="4">
        <v>41.4</v>
      </c>
      <c r="D12" s="4" t="s">
        <v>736</v>
      </c>
      <c r="E12" s="4" t="s">
        <v>736</v>
      </c>
      <c r="F12" s="4">
        <v>2</v>
      </c>
      <c r="G12" s="21">
        <v>-18.100000000000001</v>
      </c>
      <c r="H12" s="21">
        <v>283</v>
      </c>
      <c r="J12" s="4" t="s">
        <v>351</v>
      </c>
    </row>
  </sheetData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1A35DF-4A02-4BA1-BCEA-8A658E0D5574}">
  <dimension ref="A1:U9"/>
  <sheetViews>
    <sheetView workbookViewId="0">
      <selection sqref="A1:A1048576"/>
    </sheetView>
  </sheetViews>
  <sheetFormatPr defaultColWidth="8.81640625" defaultRowHeight="12.5"/>
  <cols>
    <col min="1" max="1" width="20.453125" style="4" customWidth="1"/>
    <col min="2" max="8" width="8.81640625" style="4"/>
    <col min="9" max="9" width="22.81640625" style="4" bestFit="1" customWidth="1"/>
    <col min="10" max="10" width="15.81640625" style="4" customWidth="1"/>
    <col min="11" max="16384" width="8.81640625" style="4"/>
  </cols>
  <sheetData>
    <row r="1" spans="1:21">
      <c r="A1" s="62" t="s">
        <v>0</v>
      </c>
      <c r="B1" s="56" t="s">
        <v>1</v>
      </c>
      <c r="C1" s="56" t="s">
        <v>2</v>
      </c>
      <c r="D1" s="56" t="s">
        <v>3</v>
      </c>
      <c r="E1" s="56" t="s">
        <v>4</v>
      </c>
      <c r="F1" s="56" t="s">
        <v>5</v>
      </c>
      <c r="G1" s="56" t="s">
        <v>6</v>
      </c>
      <c r="H1" s="56" t="s">
        <v>7</v>
      </c>
      <c r="I1" s="4" t="s">
        <v>9</v>
      </c>
      <c r="J1" s="4" t="s">
        <v>8</v>
      </c>
    </row>
    <row r="2" spans="1:21">
      <c r="A2" s="4" t="s">
        <v>10</v>
      </c>
      <c r="B2" s="4">
        <v>146.80000000000001</v>
      </c>
      <c r="C2" s="4">
        <v>38.700000000000003</v>
      </c>
      <c r="D2" s="4">
        <v>20.7</v>
      </c>
      <c r="E2" s="4">
        <v>11.6</v>
      </c>
      <c r="F2" s="4">
        <v>9</v>
      </c>
      <c r="G2" s="21">
        <v>2.2000000000000002</v>
      </c>
      <c r="H2" s="21">
        <v>246.5</v>
      </c>
      <c r="I2" s="4" t="s">
        <v>11</v>
      </c>
    </row>
    <row r="3" spans="1:21">
      <c r="A3" s="4" t="s">
        <v>12</v>
      </c>
      <c r="B3" s="4">
        <v>154.1</v>
      </c>
      <c r="C3" s="4">
        <v>52.2</v>
      </c>
      <c r="D3" s="4">
        <v>37.5</v>
      </c>
      <c r="E3" s="4">
        <v>8.5</v>
      </c>
      <c r="F3" s="4">
        <v>21</v>
      </c>
      <c r="G3" s="21">
        <v>-7.9</v>
      </c>
      <c r="H3" s="21">
        <v>237.5</v>
      </c>
      <c r="I3" s="4" t="s">
        <v>13</v>
      </c>
    </row>
    <row r="4" spans="1:21">
      <c r="A4" s="4" t="s">
        <v>14</v>
      </c>
      <c r="B4" s="4">
        <v>138</v>
      </c>
      <c r="C4" s="4">
        <v>52</v>
      </c>
      <c r="D4" s="4">
        <v>112</v>
      </c>
      <c r="E4" s="4">
        <v>5</v>
      </c>
      <c r="F4" s="4">
        <v>26</v>
      </c>
      <c r="G4" s="21">
        <v>-11</v>
      </c>
      <c r="H4" s="21">
        <v>251</v>
      </c>
      <c r="I4" s="4" t="s">
        <v>15</v>
      </c>
    </row>
    <row r="5" spans="1:21">
      <c r="A5" s="4" t="s">
        <v>16</v>
      </c>
      <c r="B5" s="4">
        <v>139</v>
      </c>
      <c r="C5" s="4">
        <v>57</v>
      </c>
      <c r="D5" s="4">
        <v>80</v>
      </c>
      <c r="E5" s="4">
        <v>9</v>
      </c>
      <c r="F5" s="9">
        <v>5</v>
      </c>
      <c r="G5" s="21">
        <v>-15</v>
      </c>
      <c r="H5" s="21">
        <v>248</v>
      </c>
      <c r="I5" s="4" t="s">
        <v>15</v>
      </c>
    </row>
    <row r="6" spans="1:21" s="24" customFormat="1">
      <c r="A6" s="24" t="s">
        <v>12</v>
      </c>
      <c r="B6" s="24">
        <v>172</v>
      </c>
      <c r="C6" s="24">
        <v>8</v>
      </c>
      <c r="D6" s="24">
        <v>7</v>
      </c>
      <c r="E6" s="24">
        <v>25</v>
      </c>
      <c r="F6" s="51">
        <v>18</v>
      </c>
      <c r="G6" s="63">
        <v>24</v>
      </c>
      <c r="H6" s="63">
        <v>224</v>
      </c>
      <c r="I6" s="4" t="s">
        <v>15</v>
      </c>
      <c r="J6" s="52" t="s">
        <v>17</v>
      </c>
      <c r="Q6" s="4"/>
      <c r="R6" s="4"/>
      <c r="S6" s="4"/>
      <c r="T6" s="4"/>
      <c r="U6" s="4"/>
    </row>
    <row r="7" spans="1:21">
      <c r="A7" s="4" t="s">
        <v>18</v>
      </c>
      <c r="B7" s="4">
        <v>146.1</v>
      </c>
      <c r="C7" s="4">
        <v>55.4</v>
      </c>
      <c r="D7" s="4">
        <v>63.2</v>
      </c>
      <c r="E7" s="4">
        <v>11.6</v>
      </c>
      <c r="F7" s="9">
        <v>67</v>
      </c>
      <c r="G7" s="21">
        <v>-12.3</v>
      </c>
      <c r="H7" s="21">
        <v>243.5</v>
      </c>
      <c r="I7" s="4" t="s">
        <v>13</v>
      </c>
    </row>
    <row r="8" spans="1:21">
      <c r="A8" s="4" t="s">
        <v>19</v>
      </c>
      <c r="B8" s="4">
        <v>119.6</v>
      </c>
      <c r="C8" s="4">
        <v>63.5</v>
      </c>
      <c r="D8" s="4">
        <v>35.9</v>
      </c>
      <c r="E8" s="4">
        <v>5.8</v>
      </c>
      <c r="F8" s="9">
        <v>16</v>
      </c>
      <c r="G8" s="21">
        <v>-27.6</v>
      </c>
      <c r="H8" s="21">
        <v>260</v>
      </c>
      <c r="I8" s="4" t="s">
        <v>20</v>
      </c>
    </row>
    <row r="9" spans="1:21">
      <c r="A9" s="4" t="s">
        <v>21</v>
      </c>
      <c r="B9" s="4">
        <v>135.69999999999999</v>
      </c>
      <c r="C9" s="4">
        <v>65.400000000000006</v>
      </c>
      <c r="D9" s="4">
        <v>44.2</v>
      </c>
      <c r="E9" s="4">
        <v>7</v>
      </c>
      <c r="F9" s="9">
        <v>9</v>
      </c>
      <c r="G9" s="21">
        <v>-25.2</v>
      </c>
      <c r="H9" s="21">
        <v>247.6</v>
      </c>
      <c r="I9" s="4" t="s">
        <v>20</v>
      </c>
    </row>
  </sheetData>
  <phoneticPr fontId="19" type="noConversion"/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5C9A87-3D45-4F03-B657-8D6F82AC6418}">
  <dimension ref="A1:J9"/>
  <sheetViews>
    <sheetView workbookViewId="0">
      <selection sqref="A1:A1048576"/>
    </sheetView>
  </sheetViews>
  <sheetFormatPr defaultRowHeight="12.5"/>
  <cols>
    <col min="9" max="9" width="22.81640625" bestFit="1" customWidth="1"/>
    <col min="10" max="10" width="15.81640625" customWidth="1"/>
  </cols>
  <sheetData>
    <row r="1" spans="1:10" ht="13">
      <c r="A1" s="8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t="s">
        <v>9</v>
      </c>
      <c r="J1" t="s">
        <v>8</v>
      </c>
    </row>
    <row r="2" spans="1:10">
      <c r="A2" t="s">
        <v>22</v>
      </c>
      <c r="B2">
        <v>164.8</v>
      </c>
      <c r="C2">
        <v>1.9</v>
      </c>
      <c r="D2">
        <v>17.899999999999999</v>
      </c>
      <c r="E2">
        <v>8.4</v>
      </c>
      <c r="F2" s="9">
        <v>18</v>
      </c>
      <c r="G2">
        <v>28</v>
      </c>
      <c r="H2">
        <v>233.1</v>
      </c>
      <c r="I2" s="4" t="s">
        <v>11</v>
      </c>
    </row>
    <row r="3" spans="1:10">
      <c r="A3" t="s">
        <v>23</v>
      </c>
      <c r="B3">
        <v>190.2</v>
      </c>
      <c r="C3">
        <v>-2.4</v>
      </c>
      <c r="D3">
        <v>18.100000000000001</v>
      </c>
      <c r="E3">
        <v>4.5999999999999996</v>
      </c>
      <c r="F3" s="9">
        <v>15</v>
      </c>
      <c r="G3">
        <v>7.1</v>
      </c>
      <c r="H3">
        <v>241.5</v>
      </c>
      <c r="I3" s="4" t="s">
        <v>11</v>
      </c>
    </row>
    <row r="4" spans="1:10">
      <c r="A4" t="s">
        <v>24</v>
      </c>
      <c r="B4">
        <v>173</v>
      </c>
      <c r="C4">
        <v>-5.7</v>
      </c>
      <c r="D4">
        <v>23.2</v>
      </c>
      <c r="E4">
        <v>6.3</v>
      </c>
      <c r="F4" s="9">
        <v>24</v>
      </c>
      <c r="G4">
        <v>30.8</v>
      </c>
      <c r="H4">
        <v>224</v>
      </c>
      <c r="I4" s="4" t="s">
        <v>25</v>
      </c>
    </row>
    <row r="5" spans="1:10">
      <c r="A5" s="4" t="s">
        <v>26</v>
      </c>
      <c r="B5">
        <v>175.4</v>
      </c>
      <c r="C5">
        <v>-3.8</v>
      </c>
      <c r="D5">
        <v>139.69999999999999</v>
      </c>
      <c r="E5">
        <v>7.8</v>
      </c>
      <c r="F5" s="9">
        <v>4</v>
      </c>
      <c r="G5">
        <v>29.9</v>
      </c>
      <c r="H5">
        <v>222.2</v>
      </c>
      <c r="I5" s="4" t="s">
        <v>25</v>
      </c>
    </row>
    <row r="6" spans="1:10">
      <c r="A6" t="s">
        <v>27</v>
      </c>
      <c r="B6">
        <v>175.6</v>
      </c>
      <c r="C6">
        <v>6.4</v>
      </c>
      <c r="D6">
        <v>40.299999999999997</v>
      </c>
      <c r="E6">
        <v>7.7</v>
      </c>
      <c r="F6" s="9">
        <v>10</v>
      </c>
      <c r="G6">
        <v>24.9</v>
      </c>
      <c r="H6">
        <v>220.7</v>
      </c>
      <c r="I6" s="4" t="s">
        <v>25</v>
      </c>
    </row>
    <row r="7" spans="1:10" ht="12" customHeight="1">
      <c r="A7" t="s">
        <v>28</v>
      </c>
      <c r="B7">
        <v>174</v>
      </c>
      <c r="C7">
        <v>10.4</v>
      </c>
      <c r="D7">
        <v>16</v>
      </c>
      <c r="E7">
        <v>23.8</v>
      </c>
      <c r="F7" s="9">
        <v>16</v>
      </c>
      <c r="G7">
        <v>22.7</v>
      </c>
      <c r="H7">
        <v>222.1</v>
      </c>
      <c r="I7" s="4" t="s">
        <v>13</v>
      </c>
    </row>
    <row r="8" spans="1:10">
      <c r="A8" t="s">
        <v>29</v>
      </c>
      <c r="B8">
        <v>172</v>
      </c>
      <c r="C8">
        <v>14</v>
      </c>
      <c r="D8">
        <v>300</v>
      </c>
      <c r="E8">
        <v>5</v>
      </c>
      <c r="F8" s="9">
        <v>4</v>
      </c>
      <c r="G8">
        <v>20</v>
      </c>
      <c r="H8">
        <v>225</v>
      </c>
      <c r="I8" s="4" t="s">
        <v>13</v>
      </c>
    </row>
    <row r="9" spans="1:10">
      <c r="A9" t="s">
        <v>12</v>
      </c>
      <c r="B9">
        <v>172</v>
      </c>
      <c r="C9">
        <v>8</v>
      </c>
      <c r="D9">
        <v>7</v>
      </c>
      <c r="E9">
        <v>25</v>
      </c>
      <c r="F9" s="9">
        <v>18</v>
      </c>
      <c r="G9">
        <v>24</v>
      </c>
      <c r="H9">
        <v>224</v>
      </c>
      <c r="I9" s="4" t="s">
        <v>15</v>
      </c>
    </row>
  </sheetData>
  <phoneticPr fontId="6" type="noConversion"/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B9F3A0-E9D1-418A-A904-456AF1EF5A91}">
  <dimension ref="A1:J9"/>
  <sheetViews>
    <sheetView zoomScale="120" zoomScaleNormal="120" workbookViewId="0">
      <selection sqref="A1:A1048576"/>
    </sheetView>
  </sheetViews>
  <sheetFormatPr defaultColWidth="8.81640625" defaultRowHeight="12.5"/>
  <cols>
    <col min="1" max="9" width="8.81640625" style="4"/>
    <col min="10" max="10" width="15.81640625" style="4" customWidth="1"/>
    <col min="11" max="16384" width="8.81640625" style="4"/>
  </cols>
  <sheetData>
    <row r="1" spans="1:10">
      <c r="A1" s="62" t="s">
        <v>0</v>
      </c>
      <c r="B1" s="56" t="s">
        <v>1</v>
      </c>
      <c r="C1" s="56" t="s">
        <v>2</v>
      </c>
      <c r="D1" s="56" t="s">
        <v>3</v>
      </c>
      <c r="E1" s="56" t="s">
        <v>4</v>
      </c>
      <c r="F1" s="56" t="s">
        <v>5</v>
      </c>
      <c r="G1" s="56" t="s">
        <v>6</v>
      </c>
      <c r="H1" s="56" t="s">
        <v>7</v>
      </c>
      <c r="I1" s="4" t="s">
        <v>9</v>
      </c>
      <c r="J1" s="4" t="s">
        <v>8</v>
      </c>
    </row>
    <row r="2" spans="1:10">
      <c r="A2" s="4" t="s">
        <v>810</v>
      </c>
      <c r="B2" s="4">
        <v>329.5</v>
      </c>
      <c r="C2" s="4">
        <v>38.9</v>
      </c>
      <c r="F2" s="4">
        <v>2</v>
      </c>
      <c r="G2" s="21">
        <v>38.752657195443973</v>
      </c>
      <c r="H2" s="21">
        <v>245.4240109480634</v>
      </c>
    </row>
    <row r="3" spans="1:10">
      <c r="A3" s="4" t="s">
        <v>811</v>
      </c>
      <c r="B3" s="4">
        <v>326.8</v>
      </c>
      <c r="C3" s="4">
        <v>36.700000000000003</v>
      </c>
      <c r="D3" s="4">
        <v>45.5</v>
      </c>
      <c r="E3" s="4">
        <v>13.8</v>
      </c>
      <c r="F3" s="4">
        <v>4</v>
      </c>
      <c r="G3" s="21">
        <v>36.684707705263136</v>
      </c>
      <c r="H3" s="21">
        <v>248.07785527400875</v>
      </c>
    </row>
    <row r="4" spans="1:10">
      <c r="A4" s="4" t="s">
        <v>812</v>
      </c>
      <c r="B4" s="4">
        <v>325.3</v>
      </c>
      <c r="C4" s="4">
        <v>42.3</v>
      </c>
      <c r="D4" s="4">
        <v>47.7</v>
      </c>
      <c r="E4" s="4">
        <v>4.9000000000000004</v>
      </c>
      <c r="F4" s="4">
        <v>5</v>
      </c>
      <c r="G4" s="21">
        <v>40.245903295837287</v>
      </c>
      <c r="H4" s="21">
        <v>251.05582097154189</v>
      </c>
    </row>
    <row r="5" spans="1:10">
      <c r="A5" s="4" t="s">
        <v>813</v>
      </c>
      <c r="B5" s="4">
        <v>320</v>
      </c>
      <c r="C5" s="4">
        <v>32.6</v>
      </c>
      <c r="D5" s="4">
        <v>51.5</v>
      </c>
      <c r="E5" s="4">
        <v>10.9</v>
      </c>
      <c r="F5" s="4">
        <v>5</v>
      </c>
      <c r="G5" s="21">
        <v>32.464175639843141</v>
      </c>
      <c r="H5" s="21">
        <v>254.82273214271993</v>
      </c>
    </row>
    <row r="6" spans="1:10">
      <c r="A6" s="4" t="s">
        <v>814</v>
      </c>
      <c r="B6" s="4">
        <v>334.2</v>
      </c>
      <c r="C6" s="4">
        <v>41</v>
      </c>
      <c r="F6" s="4">
        <v>2</v>
      </c>
      <c r="G6" s="21">
        <v>41.15508769037541</v>
      </c>
      <c r="H6" s="21">
        <v>240.31481465942488</v>
      </c>
    </row>
    <row r="7" spans="1:10">
      <c r="A7" s="4" t="s">
        <v>748</v>
      </c>
      <c r="B7" s="4">
        <v>344.4</v>
      </c>
      <c r="C7" s="4">
        <v>47.6</v>
      </c>
      <c r="F7" s="4">
        <v>1</v>
      </c>
      <c r="G7" s="21">
        <v>47.846930860007447</v>
      </c>
      <c r="H7" s="21">
        <v>228.87699522216096</v>
      </c>
    </row>
    <row r="8" spans="1:10">
      <c r="A8" s="4" t="s">
        <v>815</v>
      </c>
      <c r="B8" s="4">
        <v>334.2</v>
      </c>
      <c r="C8" s="4">
        <v>39.1</v>
      </c>
      <c r="D8" s="4">
        <v>48.1</v>
      </c>
      <c r="E8" s="4">
        <v>18</v>
      </c>
      <c r="F8" s="4">
        <v>3</v>
      </c>
      <c r="G8" s="21">
        <v>39.803964916688251</v>
      </c>
      <c r="H8" s="21">
        <v>239.95851368136633</v>
      </c>
    </row>
    <row r="9" spans="1:10">
      <c r="A9" s="4" t="s">
        <v>816</v>
      </c>
      <c r="B9" s="4">
        <v>311.5</v>
      </c>
      <c r="C9" s="4">
        <v>50.1</v>
      </c>
      <c r="D9" s="4">
        <v>100.9</v>
      </c>
      <c r="E9" s="4">
        <v>6.7</v>
      </c>
      <c r="F9" s="4">
        <v>6</v>
      </c>
      <c r="G9" s="21">
        <v>42.641405358667278</v>
      </c>
      <c r="H9" s="21">
        <v>269.20624519721389</v>
      </c>
    </row>
  </sheetData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D28688-B4DA-453A-B9BA-9E8700E3EDBC}">
  <dimension ref="A1:J11"/>
  <sheetViews>
    <sheetView zoomScale="110" zoomScaleNormal="110" workbookViewId="0">
      <selection sqref="A1:A1048576"/>
    </sheetView>
  </sheetViews>
  <sheetFormatPr defaultColWidth="8.81640625" defaultRowHeight="12.5"/>
  <cols>
    <col min="1" max="7" width="8.81640625" style="68"/>
    <col min="8" max="8" width="9.81640625" style="68" customWidth="1"/>
    <col min="9" max="9" width="8.81640625" style="68"/>
    <col min="10" max="10" width="15.81640625" style="68" customWidth="1"/>
    <col min="11" max="16384" width="8.81640625" style="68"/>
  </cols>
  <sheetData>
    <row r="1" spans="1:10">
      <c r="A1" s="62" t="s">
        <v>0</v>
      </c>
      <c r="B1" s="56" t="s">
        <v>1</v>
      </c>
      <c r="C1" s="56" t="s">
        <v>2</v>
      </c>
      <c r="D1" s="56" t="s">
        <v>3</v>
      </c>
      <c r="E1" s="56" t="s">
        <v>4</v>
      </c>
      <c r="F1" s="56" t="s">
        <v>5</v>
      </c>
      <c r="G1" s="56" t="s">
        <v>6</v>
      </c>
      <c r="H1" s="56" t="s">
        <v>7</v>
      </c>
      <c r="I1" s="68" t="s">
        <v>9</v>
      </c>
      <c r="J1" s="68" t="s">
        <v>8</v>
      </c>
    </row>
    <row r="2" spans="1:10">
      <c r="A2" s="68">
        <v>6</v>
      </c>
      <c r="B2" s="68">
        <v>268.39999999999998</v>
      </c>
      <c r="C2" s="68">
        <v>10.199999999999999</v>
      </c>
      <c r="D2" s="68">
        <v>31.8</v>
      </c>
      <c r="E2" s="68">
        <v>7.8</v>
      </c>
      <c r="F2" s="68">
        <v>12</v>
      </c>
      <c r="G2" s="82">
        <v>4.2546243707390659</v>
      </c>
      <c r="H2" s="82">
        <v>-57.198720750116891</v>
      </c>
    </row>
    <row r="3" spans="1:10">
      <c r="A3" s="68">
        <v>6</v>
      </c>
      <c r="B3" s="68">
        <v>253.3</v>
      </c>
      <c r="C3" s="68">
        <v>8.1</v>
      </c>
      <c r="D3" s="68">
        <v>62</v>
      </c>
      <c r="E3" s="68">
        <v>11.8</v>
      </c>
      <c r="F3" s="68">
        <v>4</v>
      </c>
      <c r="G3" s="82">
        <v>-1.9424678293088391</v>
      </c>
      <c r="H3" s="82">
        <v>-43.431761910562955</v>
      </c>
    </row>
    <row r="4" spans="1:10">
      <c r="A4" s="68">
        <v>5</v>
      </c>
      <c r="B4" s="68">
        <v>311.2</v>
      </c>
      <c r="C4" s="68">
        <v>45.2</v>
      </c>
      <c r="D4" s="68">
        <v>42.7</v>
      </c>
      <c r="E4" s="68">
        <v>7.1</v>
      </c>
      <c r="F4" s="68">
        <v>11</v>
      </c>
      <c r="G4" s="82">
        <v>38.849026799390771</v>
      </c>
      <c r="H4" s="82">
        <v>269.14497437443947</v>
      </c>
    </row>
    <row r="5" spans="1:10">
      <c r="A5" s="68">
        <v>5</v>
      </c>
      <c r="B5" s="68">
        <v>270.89999999999998</v>
      </c>
      <c r="C5" s="68">
        <v>28.8</v>
      </c>
      <c r="D5" s="68">
        <v>16.600000000000001</v>
      </c>
      <c r="E5" s="68">
        <v>14</v>
      </c>
      <c r="F5" s="68">
        <v>8</v>
      </c>
      <c r="G5" s="82">
        <v>14.688617555846449</v>
      </c>
      <c r="H5" s="82">
        <v>-55.837190109186324</v>
      </c>
    </row>
    <row r="6" spans="1:10">
      <c r="A6" s="68">
        <v>7</v>
      </c>
      <c r="B6" s="68">
        <v>329.6</v>
      </c>
      <c r="C6" s="68">
        <v>59.9</v>
      </c>
      <c r="D6" s="68">
        <v>13.2</v>
      </c>
      <c r="E6" s="68">
        <v>14.7</v>
      </c>
      <c r="F6" s="68">
        <v>9</v>
      </c>
      <c r="G6" s="82">
        <v>57.19427916542115</v>
      </c>
      <c r="H6" s="82">
        <v>254.5119429264617</v>
      </c>
    </row>
    <row r="7" spans="1:10">
      <c r="A7" s="68" t="s">
        <v>817</v>
      </c>
      <c r="B7" s="68">
        <v>233.2</v>
      </c>
      <c r="C7" s="68">
        <v>63.6</v>
      </c>
      <c r="D7" s="68">
        <v>82.9</v>
      </c>
      <c r="E7" s="68">
        <v>13.6</v>
      </c>
      <c r="F7" s="68">
        <v>3</v>
      </c>
      <c r="G7" s="82">
        <v>31.125254164945304</v>
      </c>
      <c r="H7" s="82">
        <v>-11.725943571685697</v>
      </c>
    </row>
    <row r="8" spans="1:10">
      <c r="A8" s="68" t="s">
        <v>818</v>
      </c>
      <c r="B8" s="68">
        <v>267.3</v>
      </c>
      <c r="C8" s="68">
        <v>39.799999999999997</v>
      </c>
      <c r="D8" s="68">
        <v>31.8</v>
      </c>
      <c r="E8" s="68">
        <v>13.8</v>
      </c>
      <c r="F8" s="68">
        <v>5</v>
      </c>
      <c r="G8" s="82">
        <v>20.179926418061982</v>
      </c>
      <c r="H8" s="82">
        <v>-49.729570521831931</v>
      </c>
    </row>
    <row r="9" spans="1:10">
      <c r="A9" s="68" t="s">
        <v>819</v>
      </c>
      <c r="B9" s="68">
        <v>273</v>
      </c>
      <c r="C9" s="68">
        <v>34.5</v>
      </c>
      <c r="D9" s="68">
        <v>22.8</v>
      </c>
      <c r="E9" s="68">
        <v>14.3</v>
      </c>
      <c r="F9" s="68">
        <v>6</v>
      </c>
      <c r="G9" s="82">
        <v>18.768182657236579</v>
      </c>
      <c r="H9" s="82">
        <v>-56.414776147281771</v>
      </c>
    </row>
    <row r="10" spans="1:10">
      <c r="A10" s="68" t="s">
        <v>819</v>
      </c>
      <c r="B10" s="68">
        <v>279.5</v>
      </c>
      <c r="C10" s="68">
        <v>39.299999999999997</v>
      </c>
      <c r="D10" s="68">
        <v>20.6</v>
      </c>
      <c r="E10" s="68">
        <v>27.9</v>
      </c>
      <c r="F10" s="68">
        <v>3</v>
      </c>
      <c r="G10" s="82">
        <v>24.095829672230053</v>
      </c>
      <c r="H10" s="82">
        <v>298.84504785502355</v>
      </c>
    </row>
    <row r="11" spans="1:10">
      <c r="A11" s="68">
        <v>11</v>
      </c>
      <c r="B11" s="68">
        <v>325.10000000000002</v>
      </c>
      <c r="C11" s="68">
        <v>52.9</v>
      </c>
      <c r="D11" s="68">
        <v>13.7</v>
      </c>
      <c r="E11" s="68">
        <v>34.700000000000003</v>
      </c>
      <c r="F11" s="68">
        <v>3</v>
      </c>
      <c r="G11" s="82">
        <v>49.127105620659137</v>
      </c>
      <c r="H11" s="82">
        <v>256.33172543610766</v>
      </c>
    </row>
  </sheetData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495EA5-9E7A-4908-BF48-02890D0754E8}">
  <dimension ref="A1:J7"/>
  <sheetViews>
    <sheetView zoomScale="120" zoomScaleNormal="120" workbookViewId="0">
      <selection sqref="A1:A1048576"/>
    </sheetView>
  </sheetViews>
  <sheetFormatPr defaultColWidth="8.81640625" defaultRowHeight="12.5"/>
  <cols>
    <col min="1" max="9" width="8.81640625" style="55"/>
    <col min="10" max="10" width="15.81640625" style="55" customWidth="1"/>
    <col min="11" max="16384" width="8.81640625" style="55"/>
  </cols>
  <sheetData>
    <row r="1" spans="1:10">
      <c r="A1" s="65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55" t="s">
        <v>9</v>
      </c>
      <c r="J1" s="55" t="s">
        <v>8</v>
      </c>
    </row>
    <row r="2" spans="1:10">
      <c r="A2" s="79">
        <v>3</v>
      </c>
      <c r="B2" s="55">
        <v>217.1</v>
      </c>
      <c r="C2" s="55">
        <v>36.1</v>
      </c>
      <c r="D2" s="80">
        <v>39</v>
      </c>
      <c r="E2" s="80">
        <v>4.8</v>
      </c>
      <c r="F2" s="80">
        <v>24</v>
      </c>
      <c r="G2" s="66">
        <v>13.2</v>
      </c>
      <c r="H2" s="66">
        <v>172.5</v>
      </c>
    </row>
    <row r="3" spans="1:10">
      <c r="A3" s="79">
        <v>5</v>
      </c>
      <c r="B3" s="55">
        <v>229.4</v>
      </c>
      <c r="C3" s="55">
        <v>51.4</v>
      </c>
      <c r="D3" s="80">
        <v>55</v>
      </c>
      <c r="E3" s="80">
        <v>4.8</v>
      </c>
      <c r="F3" s="80">
        <v>17</v>
      </c>
      <c r="G3" s="66">
        <v>-4</v>
      </c>
      <c r="H3" s="66">
        <v>166.9</v>
      </c>
    </row>
    <row r="4" spans="1:10">
      <c r="A4" s="79" t="s">
        <v>853</v>
      </c>
      <c r="B4" s="55">
        <v>230</v>
      </c>
      <c r="C4" s="55">
        <v>27.9</v>
      </c>
      <c r="D4" s="80">
        <v>33</v>
      </c>
      <c r="E4" s="80">
        <v>9.1</v>
      </c>
      <c r="F4" s="80">
        <v>9</v>
      </c>
      <c r="G4" s="66">
        <v>10.9</v>
      </c>
      <c r="H4" s="66">
        <v>158.1</v>
      </c>
    </row>
    <row r="5" spans="1:10">
      <c r="A5" s="79" t="s">
        <v>854</v>
      </c>
      <c r="B5" s="55">
        <v>51.7</v>
      </c>
      <c r="C5" s="55">
        <v>-21.9</v>
      </c>
      <c r="D5" s="80">
        <v>57</v>
      </c>
      <c r="E5" s="80">
        <v>4.5999999999999996</v>
      </c>
      <c r="F5" s="80">
        <v>18</v>
      </c>
      <c r="G5" s="66">
        <v>14</v>
      </c>
      <c r="H5" s="66">
        <v>159.1</v>
      </c>
    </row>
    <row r="6" spans="1:10">
      <c r="A6" s="79" t="s">
        <v>855</v>
      </c>
      <c r="B6" s="55">
        <v>45.6</v>
      </c>
      <c r="C6" s="55">
        <v>-11.8</v>
      </c>
      <c r="D6" s="80">
        <v>59</v>
      </c>
      <c r="E6" s="80">
        <v>4.5</v>
      </c>
      <c r="F6" s="80">
        <v>18</v>
      </c>
      <c r="G6" s="66">
        <v>22.1</v>
      </c>
      <c r="H6" s="66">
        <v>161.80000000000001</v>
      </c>
    </row>
    <row r="7" spans="1:10">
      <c r="E7" s="80"/>
    </row>
  </sheetData>
  <pageMargins left="0.7" right="0.7" top="0.75" bottom="0.75" header="0.3" footer="0.3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09FC2D-5344-4165-890D-6D1951EF0DBD}">
  <dimension ref="A1:K12"/>
  <sheetViews>
    <sheetView workbookViewId="0">
      <selection sqref="A1:A1048576"/>
    </sheetView>
  </sheetViews>
  <sheetFormatPr defaultColWidth="8.81640625" defaultRowHeight="12.5"/>
  <cols>
    <col min="1" max="1" width="8.81640625" style="78"/>
    <col min="2" max="9" width="8.81640625" style="55"/>
    <col min="10" max="10" width="15.81640625" style="55" customWidth="1"/>
    <col min="11" max="16384" width="8.81640625" style="55"/>
  </cols>
  <sheetData>
    <row r="1" spans="1:11">
      <c r="A1" s="76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55" t="s">
        <v>9</v>
      </c>
      <c r="J1" s="55" t="s">
        <v>8</v>
      </c>
    </row>
    <row r="2" spans="1:11" ht="13.5">
      <c r="A2" s="16">
        <v>2</v>
      </c>
      <c r="B2" s="55">
        <v>33.200000000000003</v>
      </c>
      <c r="C2" s="55">
        <v>1.1000000000000001</v>
      </c>
      <c r="D2" s="55">
        <v>88</v>
      </c>
      <c r="E2" s="55">
        <v>3.8</v>
      </c>
      <c r="F2" s="55">
        <v>17</v>
      </c>
      <c r="G2" s="55">
        <v>32.299999999999997</v>
      </c>
      <c r="H2" s="55">
        <v>168.1</v>
      </c>
      <c r="J2" s="16"/>
    </row>
    <row r="3" spans="1:11" ht="13.5">
      <c r="A3" s="16" t="s">
        <v>856</v>
      </c>
      <c r="B3" s="55">
        <v>39.6</v>
      </c>
      <c r="C3" s="55">
        <v>0.2</v>
      </c>
      <c r="D3" s="55">
        <v>38</v>
      </c>
      <c r="E3" s="55">
        <v>10</v>
      </c>
      <c r="F3" s="55">
        <v>7</v>
      </c>
      <c r="G3" s="55">
        <v>29.1</v>
      </c>
      <c r="H3" s="55">
        <v>161.6</v>
      </c>
    </row>
    <row r="4" spans="1:11" ht="13.5">
      <c r="A4" s="16">
        <v>16</v>
      </c>
      <c r="B4" s="55">
        <v>43.1</v>
      </c>
      <c r="C4" s="55">
        <v>-0.4</v>
      </c>
      <c r="D4" s="55">
        <v>96</v>
      </c>
      <c r="E4" s="55">
        <v>3.9</v>
      </c>
      <c r="F4" s="55">
        <v>15</v>
      </c>
      <c r="G4" s="55">
        <v>29.1</v>
      </c>
      <c r="H4" s="55">
        <v>161.80000000000001</v>
      </c>
    </row>
    <row r="5" spans="1:11" ht="13.5">
      <c r="A5" s="16" t="s">
        <v>857</v>
      </c>
      <c r="B5" s="55">
        <v>217.3</v>
      </c>
      <c r="C5" s="55">
        <v>19.100000000000001</v>
      </c>
      <c r="D5" s="55">
        <v>22</v>
      </c>
      <c r="E5" s="55">
        <v>7.3</v>
      </c>
      <c r="F5" s="55">
        <v>19</v>
      </c>
      <c r="G5" s="55">
        <v>21.5</v>
      </c>
      <c r="H5" s="55">
        <v>168.9</v>
      </c>
      <c r="J5" s="4"/>
      <c r="K5" s="4"/>
    </row>
    <row r="6" spans="1:11" ht="13.5">
      <c r="A6" s="16" t="s">
        <v>858</v>
      </c>
      <c r="B6" s="55">
        <v>205.1</v>
      </c>
      <c r="C6" s="55">
        <v>11.5</v>
      </c>
      <c r="D6" s="55">
        <v>79</v>
      </c>
      <c r="E6" s="55">
        <v>7.6</v>
      </c>
      <c r="F6" s="55">
        <v>6</v>
      </c>
      <c r="G6" s="55">
        <v>29.5</v>
      </c>
      <c r="H6" s="55">
        <v>179.7</v>
      </c>
      <c r="J6" s="4"/>
      <c r="K6" s="4"/>
    </row>
    <row r="7" spans="1:11" ht="13.5">
      <c r="A7" s="16" t="s">
        <v>859</v>
      </c>
      <c r="B7" s="55">
        <v>210.3</v>
      </c>
      <c r="C7" s="55">
        <v>10.8</v>
      </c>
      <c r="D7" s="55">
        <v>30</v>
      </c>
      <c r="E7" s="55">
        <v>7.1</v>
      </c>
      <c r="F7" s="55">
        <v>15</v>
      </c>
      <c r="G7" s="55">
        <v>28.1</v>
      </c>
      <c r="H7" s="55">
        <v>173.9</v>
      </c>
      <c r="J7" s="4"/>
      <c r="K7" s="4"/>
    </row>
    <row r="8" spans="1:11" ht="13.5">
      <c r="A8" s="16" t="s">
        <v>860</v>
      </c>
      <c r="B8" s="55">
        <v>33.200000000000003</v>
      </c>
      <c r="C8" s="55">
        <v>-3.8</v>
      </c>
      <c r="D8" s="55">
        <v>14</v>
      </c>
      <c r="E8" s="55">
        <v>14.3</v>
      </c>
      <c r="F8" s="55">
        <v>9</v>
      </c>
      <c r="G8" s="55">
        <v>30.4</v>
      </c>
      <c r="H8" s="55">
        <v>169.1</v>
      </c>
      <c r="I8" s="4"/>
      <c r="J8" s="4"/>
      <c r="K8" s="4"/>
    </row>
    <row r="9" spans="1:11" ht="13.5">
      <c r="A9" s="16" t="s">
        <v>861</v>
      </c>
      <c r="B9" s="55">
        <v>208.8</v>
      </c>
      <c r="C9" s="55">
        <v>9.3000000000000007</v>
      </c>
      <c r="D9" s="55">
        <v>102</v>
      </c>
      <c r="E9" s="55">
        <v>9.1999999999999993</v>
      </c>
      <c r="F9" s="55">
        <v>4</v>
      </c>
      <c r="G9" s="55">
        <v>29.3</v>
      </c>
      <c r="H9" s="55">
        <v>175.2</v>
      </c>
      <c r="I9" s="4"/>
      <c r="J9" s="4"/>
      <c r="K9" s="4"/>
    </row>
    <row r="10" spans="1:11" ht="13.5">
      <c r="A10" s="16" t="s">
        <v>862</v>
      </c>
      <c r="B10" s="55">
        <v>42.5</v>
      </c>
      <c r="C10" s="55">
        <v>-22.2</v>
      </c>
      <c r="D10" s="55">
        <v>28</v>
      </c>
      <c r="E10" s="55">
        <v>6.8</v>
      </c>
      <c r="F10" s="55">
        <v>17</v>
      </c>
      <c r="G10" s="55">
        <v>16.899999999999999</v>
      </c>
      <c r="H10" s="55">
        <v>162.80000000000001</v>
      </c>
      <c r="I10" s="4"/>
      <c r="J10" s="4"/>
      <c r="K10" s="4"/>
    </row>
    <row r="11" spans="1:11" ht="13.5">
      <c r="A11" s="16" t="s">
        <v>863</v>
      </c>
      <c r="B11" s="55">
        <v>37.799999999999997</v>
      </c>
      <c r="C11" s="55">
        <v>-21.6</v>
      </c>
      <c r="D11" s="55">
        <v>39</v>
      </c>
      <c r="E11" s="55">
        <v>8.3000000000000007</v>
      </c>
      <c r="F11" s="55">
        <v>9</v>
      </c>
      <c r="G11" s="55">
        <v>20.100000000000001</v>
      </c>
      <c r="H11" s="55">
        <v>168.6</v>
      </c>
      <c r="I11" s="4"/>
      <c r="J11" s="4"/>
      <c r="K11" s="4"/>
    </row>
    <row r="12" spans="1:11" ht="13.5">
      <c r="A12" s="16" t="s">
        <v>864</v>
      </c>
      <c r="B12" s="55">
        <v>216</v>
      </c>
      <c r="C12" s="55">
        <v>15.8</v>
      </c>
      <c r="D12" s="55">
        <v>103</v>
      </c>
      <c r="E12" s="55">
        <v>4.8</v>
      </c>
      <c r="F12" s="55">
        <v>10</v>
      </c>
      <c r="G12" s="55">
        <v>23.5</v>
      </c>
      <c r="H12" s="55">
        <v>169.2</v>
      </c>
      <c r="I12" s="4"/>
      <c r="J12" s="4"/>
      <c r="K12" s="4"/>
    </row>
  </sheetData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2F4236-14EB-4C51-91FA-61EA680AF0CB}">
  <dimension ref="A1:J8"/>
  <sheetViews>
    <sheetView workbookViewId="0">
      <selection sqref="A1:A1048576"/>
    </sheetView>
  </sheetViews>
  <sheetFormatPr defaultColWidth="8.81640625" defaultRowHeight="12.5"/>
  <cols>
    <col min="1" max="9" width="8.81640625" style="4"/>
    <col min="10" max="10" width="15.81640625" style="4" customWidth="1"/>
    <col min="11" max="16384" width="8.81640625" style="4"/>
  </cols>
  <sheetData>
    <row r="1" spans="1:10" s="55" customFormat="1">
      <c r="A1" s="76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55" t="s">
        <v>9</v>
      </c>
      <c r="J1" s="55" t="s">
        <v>8</v>
      </c>
    </row>
    <row r="2" spans="1:10" ht="13.5">
      <c r="A2" s="55">
        <v>1</v>
      </c>
      <c r="B2" s="4">
        <v>45.5</v>
      </c>
      <c r="C2" s="4">
        <v>53.7</v>
      </c>
      <c r="D2" s="4">
        <v>24</v>
      </c>
      <c r="E2" s="4">
        <v>7.8</v>
      </c>
      <c r="F2" s="4">
        <v>10</v>
      </c>
      <c r="G2" s="4">
        <v>53.3</v>
      </c>
      <c r="H2" s="4">
        <v>126.9</v>
      </c>
      <c r="J2" s="13"/>
    </row>
    <row r="3" spans="1:10">
      <c r="A3" s="55">
        <v>4</v>
      </c>
      <c r="B3" s="4">
        <v>32.299999999999997</v>
      </c>
      <c r="C3" s="4">
        <v>48.7</v>
      </c>
      <c r="D3" s="4">
        <v>90</v>
      </c>
      <c r="E3" s="4">
        <v>4</v>
      </c>
      <c r="F3" s="4">
        <v>14</v>
      </c>
      <c r="G3" s="4">
        <v>57.7</v>
      </c>
      <c r="H3" s="4">
        <v>246.7</v>
      </c>
    </row>
    <row r="4" spans="1:10">
      <c r="A4" s="55" t="s">
        <v>865</v>
      </c>
      <c r="B4" s="4">
        <v>15</v>
      </c>
      <c r="C4" s="4">
        <v>37.799999999999997</v>
      </c>
      <c r="D4" s="4">
        <v>98</v>
      </c>
      <c r="E4" s="4">
        <v>4.5999999999999996</v>
      </c>
      <c r="F4" s="4">
        <v>11</v>
      </c>
      <c r="G4" s="4">
        <v>57.7</v>
      </c>
      <c r="H4" s="4">
        <v>180.2</v>
      </c>
    </row>
    <row r="5" spans="1:10">
      <c r="A5" s="55">
        <v>10</v>
      </c>
      <c r="B5" s="4">
        <v>18.7</v>
      </c>
      <c r="C5" s="4">
        <v>59.7</v>
      </c>
      <c r="D5" s="4">
        <v>53</v>
      </c>
      <c r="E5" s="4">
        <v>4.7</v>
      </c>
      <c r="F5" s="4">
        <v>19</v>
      </c>
      <c r="G5" s="4">
        <v>73.3</v>
      </c>
      <c r="H5" s="4">
        <v>149.30000000000001</v>
      </c>
    </row>
    <row r="6" spans="1:10">
      <c r="A6" s="55" t="s">
        <v>866</v>
      </c>
      <c r="B6" s="4">
        <v>17.3</v>
      </c>
      <c r="C6" s="4">
        <v>72.2</v>
      </c>
      <c r="D6" s="4">
        <v>107</v>
      </c>
      <c r="E6" s="4">
        <v>12</v>
      </c>
      <c r="F6" s="4">
        <v>3</v>
      </c>
      <c r="G6" s="4">
        <v>78.3</v>
      </c>
      <c r="H6" s="4">
        <v>79.099999999999994</v>
      </c>
    </row>
    <row r="7" spans="1:10">
      <c r="A7" s="55">
        <v>13</v>
      </c>
      <c r="B7" s="4">
        <v>47.3</v>
      </c>
      <c r="C7" s="4">
        <v>64.8</v>
      </c>
      <c r="D7" s="4">
        <v>61</v>
      </c>
      <c r="E7" s="4">
        <v>4.2</v>
      </c>
      <c r="F7" s="4">
        <v>20</v>
      </c>
      <c r="G7" s="4">
        <v>59.1</v>
      </c>
      <c r="H7" s="4">
        <v>106</v>
      </c>
    </row>
    <row r="8" spans="1:10">
      <c r="A8" s="55" t="s">
        <v>867</v>
      </c>
      <c r="B8" s="4">
        <v>32.200000000000003</v>
      </c>
      <c r="C8" s="4">
        <v>36.9</v>
      </c>
      <c r="D8" s="4">
        <v>24</v>
      </c>
      <c r="E8" s="4">
        <v>8.1</v>
      </c>
      <c r="F8" s="4">
        <v>15</v>
      </c>
      <c r="G8" s="21">
        <v>51</v>
      </c>
      <c r="H8" s="21">
        <v>155.9</v>
      </c>
    </row>
  </sheetData>
  <pageMargins left="0.7" right="0.7" top="0.75" bottom="0.75" header="0.3" footer="0.3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2F0A8D-EEB9-4670-9535-6A256D65110F}">
  <dimension ref="A1:L10"/>
  <sheetViews>
    <sheetView workbookViewId="0">
      <selection activeCell="K18" sqref="K18"/>
    </sheetView>
  </sheetViews>
  <sheetFormatPr defaultColWidth="8.81640625" defaultRowHeight="12.5"/>
  <cols>
    <col min="1" max="1" width="13.453125" style="55" customWidth="1"/>
    <col min="2" max="9" width="8.81640625" style="4"/>
    <col min="10" max="10" width="15.81640625" style="4" customWidth="1"/>
    <col min="11" max="16384" width="8.81640625" style="4"/>
  </cols>
  <sheetData>
    <row r="1" spans="1:12" s="55" customFormat="1">
      <c r="A1" s="76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55" t="s">
        <v>9</v>
      </c>
      <c r="J1" s="55" t="s">
        <v>8</v>
      </c>
    </row>
    <row r="2" spans="1:12" ht="13.5">
      <c r="A2" s="55">
        <v>12</v>
      </c>
      <c r="B2" s="4">
        <v>211.5</v>
      </c>
      <c r="C2" s="4">
        <v>40.4</v>
      </c>
      <c r="D2" s="4">
        <v>45</v>
      </c>
      <c r="E2" s="9">
        <v>4.8</v>
      </c>
      <c r="F2" s="9">
        <v>21</v>
      </c>
      <c r="G2" s="4">
        <v>11.3</v>
      </c>
      <c r="H2" s="4">
        <v>178.7</v>
      </c>
      <c r="I2" s="13"/>
      <c r="J2" s="13"/>
      <c r="K2" s="13"/>
      <c r="L2" s="19"/>
    </row>
    <row r="3" spans="1:12" ht="13.5">
      <c r="A3" s="55" t="s">
        <v>868</v>
      </c>
      <c r="B3" s="4">
        <v>203</v>
      </c>
      <c r="C3" s="4">
        <v>28.3</v>
      </c>
      <c r="D3" s="4">
        <v>91</v>
      </c>
      <c r="E3" s="9">
        <v>9.6999999999999993</v>
      </c>
      <c r="F3" s="9">
        <v>4</v>
      </c>
      <c r="G3" s="4">
        <v>21.3</v>
      </c>
      <c r="H3" s="4">
        <v>183.7</v>
      </c>
      <c r="I3" s="13"/>
      <c r="J3" s="13"/>
    </row>
    <row r="4" spans="1:12" ht="13.5">
      <c r="A4" s="55" t="s">
        <v>869</v>
      </c>
      <c r="B4" s="4">
        <v>205.9</v>
      </c>
      <c r="C4" s="4">
        <v>44.1</v>
      </c>
      <c r="D4" s="4">
        <v>95</v>
      </c>
      <c r="E4" s="9">
        <v>3.8</v>
      </c>
      <c r="F4" s="9">
        <v>16</v>
      </c>
      <c r="G4" s="4">
        <v>12.8</v>
      </c>
      <c r="H4" s="4">
        <v>190.3</v>
      </c>
      <c r="I4" s="13"/>
    </row>
    <row r="5" spans="1:12" ht="13.5">
      <c r="A5" s="4"/>
      <c r="E5" s="9"/>
      <c r="I5" s="13"/>
    </row>
    <row r="6" spans="1:12" ht="13.5">
      <c r="I6" s="13"/>
    </row>
    <row r="7" spans="1:12" ht="13.5">
      <c r="A7" s="77"/>
      <c r="I7" s="13"/>
    </row>
    <row r="8" spans="1:12">
      <c r="A8" s="23"/>
    </row>
    <row r="9" spans="1:12">
      <c r="A9" s="23"/>
    </row>
    <row r="10" spans="1:12">
      <c r="A10" s="23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B3CD0B4C4B1A149A44ADD94ADBD9DA3" ma:contentTypeVersion="10" ma:contentTypeDescription="Create a new document." ma:contentTypeScope="" ma:versionID="a3c4a1a829e0e00351eaaabde868313d">
  <xsd:schema xmlns:xsd="http://www.w3.org/2001/XMLSchema" xmlns:xs="http://www.w3.org/2001/XMLSchema" xmlns:p="http://schemas.microsoft.com/office/2006/metadata/properties" xmlns:ns2="6d503264-5df7-4f76-939a-a40fb8837487" xmlns:ns3="f8fad588-fdc0-4fde-a0e6-1488db8bc1db" targetNamespace="http://schemas.microsoft.com/office/2006/metadata/properties" ma:root="true" ma:fieldsID="e4ce8e656e46d3e816ec629cd47a87d0" ns2:_="" ns3:_="">
    <xsd:import namespace="6d503264-5df7-4f76-939a-a40fb8837487"/>
    <xsd:import namespace="f8fad588-fdc0-4fde-a0e6-1488db8bc1d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d503264-5df7-4f76-939a-a40fb883748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2f519134-deff-459f-81c1-98498d3da87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8fad588-fdc0-4fde-a0e6-1488db8bc1db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5955319e-4bd8-4cc3-8ea1-a531e795d69e}" ma:internalName="TaxCatchAll" ma:showField="CatchAllData" ma:web="f8fad588-fdc0-4fde-a0e6-1488db8bc1d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6d503264-5df7-4f76-939a-a40fb8837487">
      <Terms xmlns="http://schemas.microsoft.com/office/infopath/2007/PartnerControls"/>
    </lcf76f155ced4ddcb4097134ff3c332f>
    <TaxCatchAll xmlns="f8fad588-fdc0-4fde-a0e6-1488db8bc1db" xsi:nil="true"/>
  </documentManagement>
</p:properties>
</file>

<file path=customXml/itemProps1.xml><?xml version="1.0" encoding="utf-8"?>
<ds:datastoreItem xmlns:ds="http://schemas.openxmlformats.org/officeDocument/2006/customXml" ds:itemID="{882B362A-D7EF-4181-A18E-2072516A469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d503264-5df7-4f76-939a-a40fb8837487"/>
    <ds:schemaRef ds:uri="f8fad588-fdc0-4fde-a0e6-1488db8bc1d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99649137-85B4-4DC1-8336-96B96870CB30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EBF11DBC-0ACB-43B2-B503-E97B4469979C}">
  <ds:schemaRefs>
    <ds:schemaRef ds:uri="http://www.w3.org/XML/1998/namespace"/>
    <ds:schemaRef ds:uri="http://purl.org/dc/elements/1.1/"/>
    <ds:schemaRef ds:uri="f8fad588-fdc0-4fde-a0e6-1488db8bc1db"/>
    <ds:schemaRef ds:uri="http://schemas.openxmlformats.org/package/2006/metadata/core-properties"/>
    <ds:schemaRef ds:uri="6d503264-5df7-4f76-939a-a40fb8837487"/>
    <ds:schemaRef ds:uri="http://schemas.microsoft.com/office/infopath/2007/PartnerControls"/>
    <ds:schemaRef ds:uri="http://schemas.microsoft.com/office/2006/documentManagement/types"/>
    <ds:schemaRef ds:uri="http://schemas.microsoft.com/office/2006/metadata/properties"/>
    <ds:schemaRef ds:uri="http://purl.org/dc/dcmitype/"/>
    <ds:schemaRef ds:uri="http://purl.org/dc/terms/"/>
  </ds:schemaRefs>
</ds:datastoreItem>
</file>

<file path=docMetadata/LabelInfo.xml><?xml version="1.0" encoding="utf-8"?>
<clbl:labelList xmlns:clbl="http://schemas.microsoft.com/office/2020/mipLabelMetadata">
  <clbl:label id="{98ae7559-10dc-4288-8e2e-4593e62fe3ee}" enabled="0" method="" siteId="{98ae7559-10dc-4288-8e2e-4593e62fe3ee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58</vt:i4>
      </vt:variant>
    </vt:vector>
  </HeadingPairs>
  <TitlesOfParts>
    <vt:vector size="58" baseType="lpstr">
      <vt:lpstr>MEAN Vendian sediments </vt:lpstr>
      <vt:lpstr>Chernokamenskay group sediments</vt:lpstr>
      <vt:lpstr>Zigan formation clastic rocks C</vt:lpstr>
      <vt:lpstr>Zigan HTC thin beds</vt:lpstr>
      <vt:lpstr>Volhyn lavas</vt:lpstr>
      <vt:lpstr>Basu formation  (precise)</vt:lpstr>
      <vt:lpstr>Basu Kukkarauk formation C</vt:lpstr>
      <vt:lpstr>Egersund dykes</vt:lpstr>
      <vt:lpstr>Bakeevo formation</vt:lpstr>
      <vt:lpstr>Kurgashlya formation</vt:lpstr>
      <vt:lpstr>Hunnedalen Dykes</vt:lpstr>
      <vt:lpstr>Katav Formation</vt:lpstr>
      <vt:lpstr>Southwestern Telemark lithotect</vt:lpstr>
      <vt:lpstr>MEAN Rogaland igneous cx</vt:lpstr>
      <vt:lpstr>Bratton and Algon Igneous Rocks</vt:lpstr>
      <vt:lpstr>Blekinge Dalarna dykes Group A</vt:lpstr>
      <vt:lpstr>Dykes of central and S sweden</vt:lpstr>
      <vt:lpstr>Blekinge-Dalarna dykes, Group B</vt:lpstr>
      <vt:lpstr>Central Telemark lithotectonic </vt:lpstr>
      <vt:lpstr>Laanila Ristijärvi Dykes</vt:lpstr>
      <vt:lpstr>Bamble lithotectonic unit</vt:lpstr>
      <vt:lpstr>Salla Dyke width 60 100 m</vt:lpstr>
      <vt:lpstr>MEAN post-Jotnian intrusions</vt:lpstr>
      <vt:lpstr>Bornholm Group I dykes</vt:lpstr>
      <vt:lpstr>Mashak suite</vt:lpstr>
      <vt:lpstr>Lake Ladoga Silla+Basalta</vt:lpstr>
      <vt:lpstr>MEAN Bunkris Glysjon Oje NEW ME</vt:lpstr>
      <vt:lpstr>Mean 1500 (Ragunda-dykes group </vt:lpstr>
      <vt:lpstr>Ragunda Formation</vt:lpstr>
      <vt:lpstr>Ragunda dykes + rapakivi (group</vt:lpstr>
      <vt:lpstr>Satakunta dyke swarm -C (includ</vt:lpstr>
      <vt:lpstr>Åland dyke swarm (includes seve</vt:lpstr>
      <vt:lpstr>Hoting basic dykes</vt:lpstr>
      <vt:lpstr>Häme + E-W Satakunta</vt:lpstr>
      <vt:lpstr>Häme dyke swarm </vt:lpstr>
      <vt:lpstr>Turinge gabbro-diabase</vt:lpstr>
      <vt:lpstr>MEAN Ropruchey sill</vt:lpstr>
      <vt:lpstr>Shoksha Sandstones</vt:lpstr>
      <vt:lpstr>Småland intrusives -C</vt:lpstr>
      <vt:lpstr>Hoting gabbro</vt:lpstr>
      <vt:lpstr>Lake Ladoga, Mean intr. &amp; dykes</vt:lpstr>
      <vt:lpstr>Notträsk gabbro (C+ remove from</vt:lpstr>
      <vt:lpstr>Eastern Murmansk sills</vt:lpstr>
      <vt:lpstr>Keuruu dykes </vt:lpstr>
      <vt:lpstr>Svecofennian gabbro intrusive</vt:lpstr>
      <vt:lpstr>Onega 1975 Ma Intrusions</vt:lpstr>
      <vt:lpstr>Varpaisjärvi dolerites &amp; baseme</vt:lpstr>
      <vt:lpstr>Taivalkoski 2.3 Ga dyke</vt:lpstr>
      <vt:lpstr>Kivakka</vt:lpstr>
      <vt:lpstr>Karelian Dykes</vt:lpstr>
      <vt:lpstr>Mean D Burakovskaya intrusion a</vt:lpstr>
      <vt:lpstr>Mean D' Shalskiy-Deda-Gorelyi-G</vt:lpstr>
      <vt:lpstr>Tsuomasvarri Gabbro-Diorite Int</vt:lpstr>
      <vt:lpstr>Kuetsyarvi</vt:lpstr>
      <vt:lpstr>Volyn-Dniestr-Bug intrusions gE</vt:lpstr>
      <vt:lpstr>Volyn-Dniestr-Bug gC+D</vt:lpstr>
      <vt:lpstr>Volyn-Dniestr-Bug intrusions gB</vt:lpstr>
      <vt:lpstr>Volyn-Dniestr-Bug intrusions gA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Salminen, M Johanna</dc:creator>
  <cp:keywords/>
  <dc:description/>
  <cp:lastModifiedBy>Ahmed, Ahmed N M</cp:lastModifiedBy>
  <cp:revision/>
  <dcterms:created xsi:type="dcterms:W3CDTF">2026-03-06T13:41:59Z</dcterms:created>
  <dcterms:modified xsi:type="dcterms:W3CDTF">2026-08-12T08:17:04Z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0x0101006B3CD0B4C4B1A149A44ADD94ADBD9DA3</vt:lpwstr>
  </property>
  <property fmtid="{D5CDD505-2E9C-101B-9397-08002B2CF9AE}" pid="3" name="MediaServiceImageTags">
    <vt:lpwstr/>
  </property>
</Properties>
</file>